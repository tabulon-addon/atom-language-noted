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yhan/Terrain/atelier/dvl/repos/git/tabulo/repos/plugins/atom/atom-language-todo-more/"/>
    </mc:Choice>
  </mc:AlternateContent>
  <xr:revisionPtr revIDLastSave="0" documentId="13_ncr:1_{9368AD84-A114-FB4A-8D6B-621F2BB3D97D}" xr6:coauthVersionLast="34" xr6:coauthVersionMax="34" xr10:uidLastSave="{00000000-0000-0000-0000-000000000000}"/>
  <bookViews>
    <workbookView xWindow="43240" yWindow="500" windowWidth="40840" windowHeight="22460" xr2:uid="{879E4651-A940-F84C-942F-8B36A24E2779}"/>
  </bookViews>
  <sheets>
    <sheet name="Data" sheetId="1" r:id="rId1"/>
    <sheet name="Summary" sheetId="6" r:id="rId2"/>
    <sheet name="Cfg" sheetId="4" r:id="rId3"/>
    <sheet name="Scratch" sheetId="5" r:id="rId4"/>
  </sheets>
  <definedNames>
    <definedName name="atom_grammatic_group_template">Cfg!$D$6</definedName>
    <definedName name="atom_grammatic_name_template">Cfg!$D$5</definedName>
    <definedName name="re_atom_pattern_begin">Cfg!$D$8</definedName>
    <definedName name="re_atom_pattern_end">Cfg!$D$9</definedName>
    <definedName name="re_tag_bad">Cfg!$D$25</definedName>
    <definedName name="re_tag_bad_pfx">Cfg!#REF!</definedName>
    <definedName name="re_tag_bad_sfx">Cfg!#REF!</definedName>
    <definedName name="re_tag_bad_sym">Cfg!$E$25</definedName>
    <definedName name="re_tag_begin">Cfg!$D$19</definedName>
    <definedName name="re_tag_end">Cfg!$D$20</definedName>
    <definedName name="re_tag_good">Cfg!$D$24</definedName>
    <definedName name="re_tag_good_pfx">Cfg!#REF!</definedName>
    <definedName name="re_tag_good_sfx">Cfg!#REF!</definedName>
    <definedName name="re_tag_good_sym">Cfg!$E$24</definedName>
    <definedName name="re_tag_mention">Cfg!$D$22</definedName>
    <definedName name="re_tag_mention_pfx">Cfg!#REF!</definedName>
    <definedName name="re_tag_mention_sfx">Cfg!#REF!</definedName>
    <definedName name="re_tag_mention_sym">Cfg!$E$22</definedName>
    <definedName name="re_tag_neutral">Cfg!$D$23</definedName>
    <definedName name="re_tag_neutral_pfx">Cfg!#REF!</definedName>
    <definedName name="re_tag_neutral_sfx">Cfg!#REF!</definedName>
    <definedName name="re_tag_neutral_sym">Cfg!$E$23</definedName>
    <definedName name="re_tw_hashtag">Cfg!$D$13</definedName>
    <definedName name="re_tw_label">Cfg!$D$12</definedName>
    <definedName name="re_tw_mention">Cfg!$D$14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G144" i="1" l="1"/>
  <c r="G145" i="1"/>
  <c r="G46" i="1"/>
  <c r="G49" i="1"/>
  <c r="G50" i="1"/>
  <c r="G56" i="1"/>
  <c r="G54" i="1"/>
  <c r="G38" i="1"/>
  <c r="G44" i="1"/>
  <c r="G45" i="1"/>
  <c r="G42" i="1"/>
  <c r="G39" i="1"/>
  <c r="G41" i="1"/>
  <c r="G58" i="1"/>
  <c r="G64" i="1"/>
  <c r="G65" i="1"/>
  <c r="G63" i="1"/>
  <c r="G68" i="1"/>
  <c r="G93" i="1"/>
  <c r="L144" i="1"/>
  <c r="L145" i="1"/>
  <c r="L46" i="1"/>
  <c r="L49" i="1"/>
  <c r="L50" i="1"/>
  <c r="L56" i="1"/>
  <c r="L54" i="1"/>
  <c r="L38" i="1"/>
  <c r="L44" i="1"/>
  <c r="L45" i="1"/>
  <c r="L42" i="1"/>
  <c r="L39" i="1"/>
  <c r="L41" i="1"/>
  <c r="L58" i="1"/>
  <c r="L64" i="1"/>
  <c r="L65" i="1"/>
  <c r="L63" i="1"/>
  <c r="L68" i="1"/>
  <c r="L93" i="1"/>
  <c r="E93" i="1"/>
  <c r="C93" i="1" s="1"/>
  <c r="Q93" i="1"/>
  <c r="P93" i="1" s="1"/>
  <c r="O93" i="1" s="1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4" i="6"/>
  <c r="C4" i="5"/>
  <c r="M144" i="1"/>
  <c r="M145" i="1"/>
  <c r="E12" i="6" a="1"/>
  <c r="E12" i="6" s="1"/>
  <c r="F12" i="6" s="1"/>
  <c r="G12" i="6" s="1"/>
  <c r="E11" i="6" a="1"/>
  <c r="E11" i="6" s="1"/>
  <c r="F11" i="6" s="1"/>
  <c r="G11" i="6" s="1"/>
  <c r="E4" i="6" a="1"/>
  <c r="E4" i="6" s="1"/>
  <c r="F4" i="6" s="1"/>
  <c r="G4" i="6" s="1"/>
  <c r="E14" i="6" a="1"/>
  <c r="E14" i="6" s="1"/>
  <c r="F14" i="6" s="1"/>
  <c r="G14" i="6" s="1"/>
  <c r="B93" i="1" l="1"/>
  <c r="N93" i="1"/>
  <c r="M93" i="1" s="1"/>
  <c r="B58" i="1"/>
  <c r="C58" i="1"/>
  <c r="Q58" i="1"/>
  <c r="P58" i="1" s="1"/>
  <c r="O58" i="1" s="1"/>
  <c r="B38" i="1"/>
  <c r="C38" i="1"/>
  <c r="Q38" i="1"/>
  <c r="N38" i="1" s="1"/>
  <c r="M38" i="1" s="1"/>
  <c r="B59" i="1"/>
  <c r="C59" i="1"/>
  <c r="I59" i="1"/>
  <c r="G59" i="1" s="1"/>
  <c r="B61" i="1"/>
  <c r="C61" i="1"/>
  <c r="I61" i="1"/>
  <c r="G61" i="1" s="1"/>
  <c r="B63" i="1"/>
  <c r="C63" i="1"/>
  <c r="B67" i="1"/>
  <c r="C67" i="1"/>
  <c r="I67" i="1"/>
  <c r="G67" i="1" s="1"/>
  <c r="B60" i="1"/>
  <c r="C60" i="1"/>
  <c r="I60" i="1"/>
  <c r="G60" i="1" s="1"/>
  <c r="Q63" i="1"/>
  <c r="P63" i="1" s="1"/>
  <c r="O63" i="1" s="1"/>
  <c r="I66" i="1"/>
  <c r="G66" i="1" s="1"/>
  <c r="I62" i="1"/>
  <c r="G62" i="1" s="1"/>
  <c r="B62" i="1"/>
  <c r="C62" i="1"/>
  <c r="B66" i="1"/>
  <c r="C66" i="1"/>
  <c r="Q64" i="1"/>
  <c r="P64" i="1" s="1"/>
  <c r="O64" i="1" s="1"/>
  <c r="B64" i="1"/>
  <c r="C64" i="1"/>
  <c r="B65" i="1"/>
  <c r="C65" i="1"/>
  <c r="Q65" i="1"/>
  <c r="P65" i="1" s="1"/>
  <c r="O65" i="1" s="1"/>
  <c r="I40" i="1"/>
  <c r="G40" i="1" s="1"/>
  <c r="B40" i="1"/>
  <c r="C40" i="1"/>
  <c r="B41" i="1"/>
  <c r="C41" i="1"/>
  <c r="Q41" i="1"/>
  <c r="N41" i="1" s="1"/>
  <c r="M41" i="1" s="1"/>
  <c r="B45" i="1"/>
  <c r="C45" i="1"/>
  <c r="Q45" i="1"/>
  <c r="N45" i="1" s="1"/>
  <c r="M45" i="1" s="1"/>
  <c r="B42" i="1"/>
  <c r="C42" i="1"/>
  <c r="Q42" i="1"/>
  <c r="N42" i="1" s="1"/>
  <c r="M42" i="1" s="1"/>
  <c r="B39" i="1"/>
  <c r="C39" i="1"/>
  <c r="Q39" i="1"/>
  <c r="P39" i="1" s="1"/>
  <c r="O39" i="1" s="1"/>
  <c r="I43" i="1"/>
  <c r="G43" i="1" s="1"/>
  <c r="B44" i="1"/>
  <c r="C44" i="1"/>
  <c r="Q44" i="1"/>
  <c r="N44" i="1" s="1"/>
  <c r="M44" i="1" s="1"/>
  <c r="E68" i="1"/>
  <c r="B68" i="1" s="1"/>
  <c r="Q68" i="1"/>
  <c r="P68" i="1" s="1"/>
  <c r="O68" i="1" s="1"/>
  <c r="E46" i="1"/>
  <c r="B46" i="1" s="1"/>
  <c r="Q46" i="1"/>
  <c r="P46" i="1" s="1"/>
  <c r="O46" i="1" s="1"/>
  <c r="B50" i="1"/>
  <c r="C50" i="1"/>
  <c r="Q50" i="1"/>
  <c r="N50" i="1" s="1"/>
  <c r="M50" i="1" s="1"/>
  <c r="B56" i="1"/>
  <c r="C56" i="1"/>
  <c r="Q56" i="1"/>
  <c r="N56" i="1" s="1"/>
  <c r="M56" i="1" s="1"/>
  <c r="B54" i="1"/>
  <c r="C54" i="1"/>
  <c r="Q54" i="1"/>
  <c r="N54" i="1" s="1"/>
  <c r="M54" i="1" s="1"/>
  <c r="B43" i="1"/>
  <c r="C43" i="1"/>
  <c r="B49" i="1"/>
  <c r="Q49" i="1"/>
  <c r="N49" i="1" s="1"/>
  <c r="M49" i="1" s="1"/>
  <c r="Q67" i="1" l="1"/>
  <c r="N67" i="1" s="1"/>
  <c r="M67" i="1" s="1"/>
  <c r="L67" i="1"/>
  <c r="Q59" i="1"/>
  <c r="N59" i="1" s="1"/>
  <c r="M59" i="1" s="1"/>
  <c r="L59" i="1"/>
  <c r="Q66" i="1"/>
  <c r="P66" i="1" s="1"/>
  <c r="O66" i="1" s="1"/>
  <c r="L66" i="1"/>
  <c r="Q61" i="1"/>
  <c r="N61" i="1" s="1"/>
  <c r="M61" i="1" s="1"/>
  <c r="L61" i="1"/>
  <c r="Q60" i="1"/>
  <c r="P60" i="1" s="1"/>
  <c r="O60" i="1" s="1"/>
  <c r="L60" i="1"/>
  <c r="Q40" i="1"/>
  <c r="N40" i="1" s="1"/>
  <c r="M40" i="1" s="1"/>
  <c r="L40" i="1"/>
  <c r="Q43" i="1"/>
  <c r="N43" i="1" s="1"/>
  <c r="M43" i="1" s="1"/>
  <c r="L43" i="1"/>
  <c r="Q62" i="1"/>
  <c r="P62" i="1" s="1"/>
  <c r="O62" i="1" s="1"/>
  <c r="L62" i="1"/>
  <c r="N58" i="1"/>
  <c r="M58" i="1" s="1"/>
  <c r="P38" i="1"/>
  <c r="O38" i="1" s="1"/>
  <c r="P59" i="1"/>
  <c r="O59" i="1" s="1"/>
  <c r="N63" i="1"/>
  <c r="M63" i="1" s="1"/>
  <c r="N60" i="1"/>
  <c r="M60" i="1" s="1"/>
  <c r="N65" i="1"/>
  <c r="M65" i="1" s="1"/>
  <c r="N64" i="1"/>
  <c r="M64" i="1" s="1"/>
  <c r="P41" i="1"/>
  <c r="O41" i="1" s="1"/>
  <c r="P45" i="1"/>
  <c r="O45" i="1" s="1"/>
  <c r="P42" i="1"/>
  <c r="O42" i="1" s="1"/>
  <c r="N39" i="1"/>
  <c r="M39" i="1" s="1"/>
  <c r="P44" i="1"/>
  <c r="O44" i="1" s="1"/>
  <c r="N68" i="1"/>
  <c r="M68" i="1" s="1"/>
  <c r="C68" i="1"/>
  <c r="C46" i="1"/>
  <c r="N46" i="1"/>
  <c r="M46" i="1" s="1"/>
  <c r="P50" i="1"/>
  <c r="O50" i="1" s="1"/>
  <c r="P56" i="1"/>
  <c r="O56" i="1" s="1"/>
  <c r="P54" i="1"/>
  <c r="O54" i="1" s="1"/>
  <c r="P49" i="1"/>
  <c r="O49" i="1" s="1"/>
  <c r="C49" i="1"/>
  <c r="Q3" i="1"/>
  <c r="P3" i="1" s="1"/>
  <c r="Q4" i="1"/>
  <c r="P4" i="1" s="1"/>
  <c r="Q5" i="1"/>
  <c r="P5" i="1" s="1"/>
  <c r="Q6" i="1"/>
  <c r="P6" i="1" s="1"/>
  <c r="Q7" i="1"/>
  <c r="N7" i="1" s="1"/>
  <c r="M7" i="1" s="1"/>
  <c r="Q8" i="1"/>
  <c r="N8" i="1" s="1"/>
  <c r="M8" i="1" s="1"/>
  <c r="Q12" i="1"/>
  <c r="P12" i="1" s="1"/>
  <c r="Q24" i="1"/>
  <c r="N24" i="1" s="1"/>
  <c r="M24" i="1" s="1"/>
  <c r="Q26" i="1"/>
  <c r="P26" i="1" s="1"/>
  <c r="Q27" i="1"/>
  <c r="P27" i="1" s="1"/>
  <c r="Q29" i="1"/>
  <c r="P29" i="1" s="1"/>
  <c r="Q30" i="1"/>
  <c r="P30" i="1" s="1"/>
  <c r="Q31" i="1"/>
  <c r="N31" i="1" s="1"/>
  <c r="M31" i="1" s="1"/>
  <c r="Q32" i="1"/>
  <c r="N32" i="1" s="1"/>
  <c r="M32" i="1" s="1"/>
  <c r="Q33" i="1"/>
  <c r="N33" i="1" s="1"/>
  <c r="M33" i="1" s="1"/>
  <c r="Q34" i="1"/>
  <c r="P34" i="1" s="1"/>
  <c r="Q35" i="1"/>
  <c r="P35" i="1" s="1"/>
  <c r="Q36" i="1"/>
  <c r="P36" i="1" s="1"/>
  <c r="Q37" i="1"/>
  <c r="P37" i="1" s="1"/>
  <c r="Q48" i="1"/>
  <c r="P48" i="1" s="1"/>
  <c r="Q47" i="1"/>
  <c r="N47" i="1" s="1"/>
  <c r="M47" i="1" s="1"/>
  <c r="Q51" i="1"/>
  <c r="N51" i="1" s="1"/>
  <c r="M51" i="1" s="1"/>
  <c r="Q52" i="1"/>
  <c r="N52" i="1" s="1"/>
  <c r="M52" i="1" s="1"/>
  <c r="Q53" i="1"/>
  <c r="P53" i="1" s="1"/>
  <c r="Q55" i="1"/>
  <c r="N55" i="1" s="1"/>
  <c r="M55" i="1" s="1"/>
  <c r="Q69" i="1"/>
  <c r="P69" i="1" s="1"/>
  <c r="Q70" i="1"/>
  <c r="P70" i="1" s="1"/>
  <c r="Q71" i="1"/>
  <c r="P71" i="1" s="1"/>
  <c r="Q72" i="1"/>
  <c r="N72" i="1" s="1"/>
  <c r="M72" i="1" s="1"/>
  <c r="Q73" i="1"/>
  <c r="N73" i="1" s="1"/>
  <c r="M73" i="1" s="1"/>
  <c r="I75" i="1"/>
  <c r="I76" i="1"/>
  <c r="I77" i="1"/>
  <c r="I78" i="1"/>
  <c r="I79" i="1"/>
  <c r="I80" i="1"/>
  <c r="I81" i="1"/>
  <c r="I82" i="1"/>
  <c r="I83" i="1"/>
  <c r="I84" i="1"/>
  <c r="I85" i="1"/>
  <c r="I87" i="1"/>
  <c r="I88" i="1"/>
  <c r="I89" i="1"/>
  <c r="I90" i="1"/>
  <c r="I91" i="1"/>
  <c r="I92" i="1"/>
  <c r="I94" i="1"/>
  <c r="I95" i="1"/>
  <c r="I96" i="1"/>
  <c r="I97" i="1"/>
  <c r="I98" i="1"/>
  <c r="I99" i="1"/>
  <c r="I100" i="1"/>
  <c r="I101" i="1"/>
  <c r="I102" i="1"/>
  <c r="I103" i="1"/>
  <c r="I104" i="1"/>
  <c r="I106" i="1"/>
  <c r="I107" i="1"/>
  <c r="I113" i="1"/>
  <c r="I108" i="1"/>
  <c r="I109" i="1"/>
  <c r="I110" i="1"/>
  <c r="I115" i="1"/>
  <c r="I116" i="1"/>
  <c r="I111" i="1"/>
  <c r="I114" i="1"/>
  <c r="I112" i="1"/>
  <c r="I118" i="1"/>
  <c r="I119" i="1"/>
  <c r="I120" i="1"/>
  <c r="I121" i="1"/>
  <c r="I122" i="1"/>
  <c r="I123" i="1"/>
  <c r="G123" i="1" s="1"/>
  <c r="I124" i="1"/>
  <c r="I125" i="1"/>
  <c r="I132" i="1"/>
  <c r="I126" i="1"/>
  <c r="I129" i="1"/>
  <c r="I130" i="1"/>
  <c r="I127" i="1"/>
  <c r="I131" i="1"/>
  <c r="I128" i="1"/>
  <c r="I133" i="1"/>
  <c r="G133" i="1" s="1"/>
  <c r="I134" i="1"/>
  <c r="I135" i="1"/>
  <c r="I142" i="1"/>
  <c r="I139" i="1"/>
  <c r="I140" i="1"/>
  <c r="I137" i="1"/>
  <c r="I141" i="1"/>
  <c r="I143" i="1"/>
  <c r="I138" i="1"/>
  <c r="I57" i="1"/>
  <c r="I28" i="1"/>
  <c r="I25" i="1"/>
  <c r="I14" i="1"/>
  <c r="I15" i="1"/>
  <c r="I16" i="1"/>
  <c r="I17" i="1"/>
  <c r="I18" i="1"/>
  <c r="I19" i="1"/>
  <c r="I20" i="1"/>
  <c r="I21" i="1"/>
  <c r="I22" i="1"/>
  <c r="I23" i="1"/>
  <c r="I13" i="1"/>
  <c r="I10" i="1"/>
  <c r="I11" i="1"/>
  <c r="I9" i="1"/>
  <c r="E3" i="1"/>
  <c r="G3" i="1" s="1"/>
  <c r="E4" i="1"/>
  <c r="G4" i="1" s="1"/>
  <c r="E5" i="1"/>
  <c r="G5" i="1" s="1"/>
  <c r="E6" i="1"/>
  <c r="G6" i="1" s="1"/>
  <c r="E7" i="1"/>
  <c r="G7" i="1" s="1"/>
  <c r="E8" i="1"/>
  <c r="G8" i="1" s="1"/>
  <c r="E9" i="1"/>
  <c r="B9" i="1" s="1"/>
  <c r="E10" i="1"/>
  <c r="C10" i="1" s="1"/>
  <c r="E11" i="1"/>
  <c r="C11" i="1" s="1"/>
  <c r="E12" i="1"/>
  <c r="G12" i="1" s="1"/>
  <c r="E13" i="1"/>
  <c r="B13" i="1" s="1"/>
  <c r="E14" i="1"/>
  <c r="B14" i="1" s="1"/>
  <c r="E15" i="1"/>
  <c r="C15" i="1" s="1"/>
  <c r="E16" i="1"/>
  <c r="C16" i="1" s="1"/>
  <c r="E17" i="1"/>
  <c r="B17" i="1" s="1"/>
  <c r="E18" i="1"/>
  <c r="C18" i="1" s="1"/>
  <c r="E19" i="1"/>
  <c r="C19" i="1" s="1"/>
  <c r="E20" i="1"/>
  <c r="C20" i="1" s="1"/>
  <c r="E21" i="1"/>
  <c r="B21" i="1" s="1"/>
  <c r="E22" i="1"/>
  <c r="B22" i="1" s="1"/>
  <c r="E23" i="1"/>
  <c r="B23" i="1" s="1"/>
  <c r="E24" i="1"/>
  <c r="G24" i="1" s="1"/>
  <c r="E25" i="1"/>
  <c r="B25" i="1" s="1"/>
  <c r="E26" i="1"/>
  <c r="G26" i="1" s="1"/>
  <c r="E27" i="1"/>
  <c r="G27" i="1" s="1"/>
  <c r="E28" i="1"/>
  <c r="C28" i="1" s="1"/>
  <c r="E29" i="1"/>
  <c r="G29" i="1" s="1"/>
  <c r="E30" i="1"/>
  <c r="G30" i="1" s="1"/>
  <c r="E31" i="1"/>
  <c r="G31" i="1" s="1"/>
  <c r="E32" i="1"/>
  <c r="G32" i="1" s="1"/>
  <c r="E33" i="1"/>
  <c r="G33" i="1" s="1"/>
  <c r="E34" i="1"/>
  <c r="G34" i="1" s="1"/>
  <c r="E35" i="1"/>
  <c r="G35" i="1" s="1"/>
  <c r="E36" i="1"/>
  <c r="G36" i="1" s="1"/>
  <c r="E37" i="1"/>
  <c r="G37" i="1" s="1"/>
  <c r="E48" i="1"/>
  <c r="G48" i="1" s="1"/>
  <c r="E47" i="1"/>
  <c r="G47" i="1" s="1"/>
  <c r="E51" i="1"/>
  <c r="G51" i="1" s="1"/>
  <c r="E52" i="1"/>
  <c r="G52" i="1" s="1"/>
  <c r="E53" i="1"/>
  <c r="G53" i="1" s="1"/>
  <c r="E55" i="1"/>
  <c r="G55" i="1" s="1"/>
  <c r="E57" i="1"/>
  <c r="C57" i="1" s="1"/>
  <c r="E69" i="1"/>
  <c r="G69" i="1" s="1"/>
  <c r="E70" i="1"/>
  <c r="G70" i="1" s="1"/>
  <c r="E71" i="1"/>
  <c r="G71" i="1" s="1"/>
  <c r="E72" i="1"/>
  <c r="G72" i="1" s="1"/>
  <c r="E73" i="1"/>
  <c r="G73" i="1" s="1"/>
  <c r="E75" i="1"/>
  <c r="C75" i="1" s="1"/>
  <c r="E76" i="1"/>
  <c r="C76" i="1" s="1"/>
  <c r="E77" i="1"/>
  <c r="B77" i="1" s="1"/>
  <c r="E78" i="1"/>
  <c r="B78" i="1" s="1"/>
  <c r="E79" i="1"/>
  <c r="C79" i="1" s="1"/>
  <c r="E80" i="1"/>
  <c r="C80" i="1" s="1"/>
  <c r="E81" i="1"/>
  <c r="B81" i="1" s="1"/>
  <c r="E82" i="1"/>
  <c r="C82" i="1" s="1"/>
  <c r="E83" i="1"/>
  <c r="C83" i="1" s="1"/>
  <c r="E84" i="1"/>
  <c r="C84" i="1" s="1"/>
  <c r="E85" i="1"/>
  <c r="B85" i="1" s="1"/>
  <c r="E87" i="1"/>
  <c r="B87" i="1" s="1"/>
  <c r="E88" i="1"/>
  <c r="C88" i="1" s="1"/>
  <c r="E89" i="1"/>
  <c r="B89" i="1" s="1"/>
  <c r="E90" i="1"/>
  <c r="C90" i="1" s="1"/>
  <c r="E91" i="1"/>
  <c r="C91" i="1" s="1"/>
  <c r="E92" i="1"/>
  <c r="C92" i="1" s="1"/>
  <c r="E94" i="1"/>
  <c r="B94" i="1" s="1"/>
  <c r="E95" i="1"/>
  <c r="B95" i="1" s="1"/>
  <c r="E96" i="1"/>
  <c r="B96" i="1" s="1"/>
  <c r="E97" i="1"/>
  <c r="B97" i="1" s="1"/>
  <c r="E98" i="1"/>
  <c r="B98" i="1" s="1"/>
  <c r="E99" i="1"/>
  <c r="C99" i="1" s="1"/>
  <c r="E100" i="1"/>
  <c r="C100" i="1" s="1"/>
  <c r="E101" i="1"/>
  <c r="C101" i="1" s="1"/>
  <c r="E102" i="1"/>
  <c r="B102" i="1" s="1"/>
  <c r="E103" i="1"/>
  <c r="B103" i="1" s="1"/>
  <c r="E104" i="1"/>
  <c r="B104" i="1" s="1"/>
  <c r="E106" i="1"/>
  <c r="B106" i="1" s="1"/>
  <c r="E107" i="1"/>
  <c r="C107" i="1" s="1"/>
  <c r="E113" i="1"/>
  <c r="C113" i="1" s="1"/>
  <c r="E108" i="1"/>
  <c r="C108" i="1" s="1"/>
  <c r="E109" i="1"/>
  <c r="B109" i="1" s="1"/>
  <c r="E110" i="1"/>
  <c r="B110" i="1" s="1"/>
  <c r="E115" i="1"/>
  <c r="C115" i="1" s="1"/>
  <c r="E116" i="1"/>
  <c r="C116" i="1" s="1"/>
  <c r="E111" i="1"/>
  <c r="B111" i="1" s="1"/>
  <c r="E114" i="1"/>
  <c r="C114" i="1" s="1"/>
  <c r="E112" i="1"/>
  <c r="C112" i="1" s="1"/>
  <c r="E118" i="1"/>
  <c r="B118" i="1" s="1"/>
  <c r="E119" i="1"/>
  <c r="B119" i="1" s="1"/>
  <c r="E120" i="1"/>
  <c r="B120" i="1" s="1"/>
  <c r="E121" i="1"/>
  <c r="B121" i="1" s="1"/>
  <c r="E122" i="1"/>
  <c r="B122" i="1" s="1"/>
  <c r="E123" i="1"/>
  <c r="C123" i="1" s="1"/>
  <c r="E124" i="1"/>
  <c r="C124" i="1" s="1"/>
  <c r="E125" i="1"/>
  <c r="C125" i="1" s="1"/>
  <c r="E132" i="1"/>
  <c r="B132" i="1" s="1"/>
  <c r="E126" i="1"/>
  <c r="B126" i="1" s="1"/>
  <c r="E129" i="1"/>
  <c r="B129" i="1" s="1"/>
  <c r="E130" i="1"/>
  <c r="C130" i="1" s="1"/>
  <c r="E127" i="1"/>
  <c r="B127" i="1" s="1"/>
  <c r="E131" i="1"/>
  <c r="C131" i="1" s="1"/>
  <c r="E128" i="1"/>
  <c r="C128" i="1" s="1"/>
  <c r="E133" i="1"/>
  <c r="C133" i="1" s="1"/>
  <c r="E134" i="1"/>
  <c r="B134" i="1" s="1"/>
  <c r="E135" i="1"/>
  <c r="B135" i="1" s="1"/>
  <c r="E142" i="1"/>
  <c r="B142" i="1" s="1"/>
  <c r="E139" i="1"/>
  <c r="B139" i="1" s="1"/>
  <c r="E140" i="1"/>
  <c r="C140" i="1" s="1"/>
  <c r="E137" i="1"/>
  <c r="C137" i="1" s="1"/>
  <c r="E141" i="1"/>
  <c r="C141" i="1" s="1"/>
  <c r="E143" i="1"/>
  <c r="B143" i="1" s="1"/>
  <c r="E138" i="1"/>
  <c r="B138" i="1" s="1"/>
  <c r="H136" i="1"/>
  <c r="E136" i="1" s="1"/>
  <c r="C136" i="1" s="1"/>
  <c r="H117" i="1"/>
  <c r="E117" i="1" s="1"/>
  <c r="H105" i="1"/>
  <c r="I105" i="1" s="1"/>
  <c r="G105" i="1" s="1"/>
  <c r="H86" i="1"/>
  <c r="E86" i="1" s="1"/>
  <c r="J2" i="1"/>
  <c r="H2" i="1"/>
  <c r="J86" i="1"/>
  <c r="H74" i="1"/>
  <c r="E74" i="1" s="1"/>
  <c r="K105" i="1"/>
  <c r="J74" i="1"/>
  <c r="K136" i="1"/>
  <c r="J136" i="1"/>
  <c r="K2" i="1"/>
  <c r="J117" i="1"/>
  <c r="J123" i="1"/>
  <c r="J133" i="1"/>
  <c r="J105" i="1"/>
  <c r="I2" i="1"/>
  <c r="G2" i="1" s="1"/>
  <c r="P67" i="1" l="1"/>
  <c r="O67" i="1" s="1"/>
  <c r="N62" i="1"/>
  <c r="M62" i="1" s="1"/>
  <c r="G9" i="1"/>
  <c r="G19" i="1"/>
  <c r="G57" i="1"/>
  <c r="G11" i="1"/>
  <c r="P40" i="1"/>
  <c r="O40" i="1" s="1"/>
  <c r="G119" i="1"/>
  <c r="G138" i="1"/>
  <c r="G134" i="1"/>
  <c r="G132" i="1"/>
  <c r="G118" i="1"/>
  <c r="G108" i="1"/>
  <c r="G100" i="1"/>
  <c r="G91" i="1"/>
  <c r="G82" i="1"/>
  <c r="G126" i="1"/>
  <c r="G10" i="1"/>
  <c r="G17" i="1"/>
  <c r="G143" i="1"/>
  <c r="G125" i="1"/>
  <c r="G112" i="1"/>
  <c r="G113" i="1"/>
  <c r="G99" i="1"/>
  <c r="G90" i="1"/>
  <c r="G81" i="1"/>
  <c r="G101" i="1"/>
  <c r="G13" i="1"/>
  <c r="G16" i="1"/>
  <c r="G141" i="1"/>
  <c r="G128" i="1"/>
  <c r="G124" i="1"/>
  <c r="G114" i="1"/>
  <c r="G107" i="1"/>
  <c r="G98" i="1"/>
  <c r="G89" i="1"/>
  <c r="G80" i="1"/>
  <c r="G109" i="1"/>
  <c r="G23" i="1"/>
  <c r="G15" i="1"/>
  <c r="G137" i="1"/>
  <c r="G131" i="1"/>
  <c r="G111" i="1"/>
  <c r="G106" i="1"/>
  <c r="G97" i="1"/>
  <c r="G88" i="1"/>
  <c r="G79" i="1"/>
  <c r="P61" i="1"/>
  <c r="O61" i="1" s="1"/>
  <c r="G135" i="1"/>
  <c r="G83" i="1"/>
  <c r="G22" i="1"/>
  <c r="G14" i="1"/>
  <c r="G140" i="1"/>
  <c r="G127" i="1"/>
  <c r="G122" i="1"/>
  <c r="G116" i="1"/>
  <c r="G104" i="1"/>
  <c r="G96" i="1"/>
  <c r="G87" i="1"/>
  <c r="G78" i="1"/>
  <c r="G75" i="1"/>
  <c r="G18" i="1"/>
  <c r="G21" i="1"/>
  <c r="G25" i="1"/>
  <c r="G139" i="1"/>
  <c r="G130" i="1"/>
  <c r="G121" i="1"/>
  <c r="G115" i="1"/>
  <c r="G103" i="1"/>
  <c r="G95" i="1"/>
  <c r="G85" i="1"/>
  <c r="G77" i="1"/>
  <c r="G92" i="1"/>
  <c r="G20" i="1"/>
  <c r="G28" i="1"/>
  <c r="G142" i="1"/>
  <c r="G129" i="1"/>
  <c r="G120" i="1"/>
  <c r="G110" i="1"/>
  <c r="G102" i="1"/>
  <c r="G94" i="1"/>
  <c r="G84" i="1"/>
  <c r="G76" i="1"/>
  <c r="L13" i="1"/>
  <c r="L21" i="1"/>
  <c r="P43" i="1"/>
  <c r="O43" i="1" s="1"/>
  <c r="N66" i="1"/>
  <c r="M66" i="1" s="1"/>
  <c r="B72" i="1"/>
  <c r="L72" i="1"/>
  <c r="B51" i="1"/>
  <c r="L51" i="1"/>
  <c r="C32" i="1"/>
  <c r="L32" i="1"/>
  <c r="B24" i="1"/>
  <c r="L24" i="1"/>
  <c r="C8" i="1"/>
  <c r="L8" i="1"/>
  <c r="Q10" i="1"/>
  <c r="P10" i="1" s="1"/>
  <c r="L10" i="1"/>
  <c r="Q17" i="1"/>
  <c r="P17" i="1" s="1"/>
  <c r="L17" i="1"/>
  <c r="L143" i="1"/>
  <c r="Q133" i="1"/>
  <c r="P133" i="1" s="1"/>
  <c r="O133" i="1" s="1"/>
  <c r="L133" i="1"/>
  <c r="Q125" i="1"/>
  <c r="P125" i="1" s="1"/>
  <c r="L125" i="1"/>
  <c r="Q112" i="1"/>
  <c r="P112" i="1" s="1"/>
  <c r="L112" i="1"/>
  <c r="Q113" i="1"/>
  <c r="P113" i="1" s="1"/>
  <c r="L113" i="1"/>
  <c r="Q99" i="1"/>
  <c r="P99" i="1" s="1"/>
  <c r="O99" i="1" s="1"/>
  <c r="L99" i="1"/>
  <c r="Q90" i="1"/>
  <c r="P90" i="1" s="1"/>
  <c r="L90" i="1"/>
  <c r="Q81" i="1"/>
  <c r="P81" i="1" s="1"/>
  <c r="O81" i="1" s="1"/>
  <c r="L81" i="1"/>
  <c r="B71" i="1"/>
  <c r="L71" i="1"/>
  <c r="C47" i="1"/>
  <c r="L47" i="1"/>
  <c r="B31" i="1"/>
  <c r="L31" i="1"/>
  <c r="B7" i="1"/>
  <c r="L7" i="1"/>
  <c r="Q16" i="1"/>
  <c r="P16" i="1" s="1"/>
  <c r="L16" i="1"/>
  <c r="Q141" i="1"/>
  <c r="P141" i="1" s="1"/>
  <c r="O141" i="1" s="1"/>
  <c r="L141" i="1"/>
  <c r="Q128" i="1"/>
  <c r="P128" i="1" s="1"/>
  <c r="L128" i="1"/>
  <c r="Q124" i="1"/>
  <c r="P124" i="1" s="1"/>
  <c r="L124" i="1"/>
  <c r="Q114" i="1"/>
  <c r="P114" i="1" s="1"/>
  <c r="L114" i="1"/>
  <c r="Q107" i="1"/>
  <c r="P107" i="1" s="1"/>
  <c r="O107" i="1" s="1"/>
  <c r="L107" i="1"/>
  <c r="Q98" i="1"/>
  <c r="P98" i="1" s="1"/>
  <c r="L98" i="1"/>
  <c r="Q89" i="1"/>
  <c r="P89" i="1" s="1"/>
  <c r="O89" i="1" s="1"/>
  <c r="L89" i="1"/>
  <c r="Q80" i="1"/>
  <c r="P80" i="1" s="1"/>
  <c r="L80" i="1"/>
  <c r="B70" i="1"/>
  <c r="L70" i="1"/>
  <c r="B48" i="1"/>
  <c r="L48" i="1"/>
  <c r="B30" i="1"/>
  <c r="L30" i="1"/>
  <c r="B6" i="1"/>
  <c r="L6" i="1"/>
  <c r="Q23" i="1"/>
  <c r="P23" i="1" s="1"/>
  <c r="O23" i="1" s="1"/>
  <c r="L23" i="1"/>
  <c r="Q15" i="1"/>
  <c r="P15" i="1" s="1"/>
  <c r="L15" i="1"/>
  <c r="Q137" i="1"/>
  <c r="P137" i="1" s="1"/>
  <c r="L137" i="1"/>
  <c r="Q131" i="1"/>
  <c r="P131" i="1" s="1"/>
  <c r="L131" i="1"/>
  <c r="Q123" i="1"/>
  <c r="P123" i="1" s="1"/>
  <c r="O123" i="1" s="1"/>
  <c r="L123" i="1"/>
  <c r="Q111" i="1"/>
  <c r="P111" i="1" s="1"/>
  <c r="L111" i="1"/>
  <c r="Q106" i="1"/>
  <c r="P106" i="1" s="1"/>
  <c r="L106" i="1"/>
  <c r="Q97" i="1"/>
  <c r="P97" i="1" s="1"/>
  <c r="L97" i="1"/>
  <c r="Q88" i="1"/>
  <c r="P88" i="1" s="1"/>
  <c r="O88" i="1" s="1"/>
  <c r="L88" i="1"/>
  <c r="Q79" i="1"/>
  <c r="P79" i="1" s="1"/>
  <c r="L79" i="1"/>
  <c r="B69" i="1"/>
  <c r="L69" i="1"/>
  <c r="B37" i="1"/>
  <c r="L37" i="1"/>
  <c r="B29" i="1"/>
  <c r="L29" i="1"/>
  <c r="B5" i="1"/>
  <c r="L5" i="1"/>
  <c r="Q22" i="1"/>
  <c r="P22" i="1" s="1"/>
  <c r="L22" i="1"/>
  <c r="Q14" i="1"/>
  <c r="P14" i="1" s="1"/>
  <c r="L14" i="1"/>
  <c r="Q140" i="1"/>
  <c r="P140" i="1" s="1"/>
  <c r="O140" i="1" s="1"/>
  <c r="L140" i="1"/>
  <c r="Q127" i="1"/>
  <c r="P127" i="1" s="1"/>
  <c r="L127" i="1"/>
  <c r="Q122" i="1"/>
  <c r="P122" i="1" s="1"/>
  <c r="L122" i="1"/>
  <c r="Q116" i="1"/>
  <c r="P116" i="1" s="1"/>
  <c r="L116" i="1"/>
  <c r="Q104" i="1"/>
  <c r="P104" i="1" s="1"/>
  <c r="O104" i="1" s="1"/>
  <c r="L104" i="1"/>
  <c r="Q96" i="1"/>
  <c r="P96" i="1" s="1"/>
  <c r="L96" i="1"/>
  <c r="Q87" i="1"/>
  <c r="P87" i="1" s="1"/>
  <c r="O87" i="1" s="1"/>
  <c r="L87" i="1"/>
  <c r="Q78" i="1"/>
  <c r="P78" i="1" s="1"/>
  <c r="L78" i="1"/>
  <c r="C36" i="1"/>
  <c r="L36" i="1"/>
  <c r="C12" i="1"/>
  <c r="L12" i="1"/>
  <c r="C4" i="1"/>
  <c r="L4" i="1"/>
  <c r="Q25" i="1"/>
  <c r="P25" i="1" s="1"/>
  <c r="L25" i="1"/>
  <c r="Q139" i="1"/>
  <c r="P139" i="1" s="1"/>
  <c r="O139" i="1" s="1"/>
  <c r="L139" i="1"/>
  <c r="Q130" i="1"/>
  <c r="P130" i="1" s="1"/>
  <c r="L130" i="1"/>
  <c r="Q121" i="1"/>
  <c r="P121" i="1" s="1"/>
  <c r="L121" i="1"/>
  <c r="Q115" i="1"/>
  <c r="P115" i="1" s="1"/>
  <c r="L115" i="1"/>
  <c r="L103" i="1"/>
  <c r="L95" i="1"/>
  <c r="L85" i="1"/>
  <c r="L77" i="1"/>
  <c r="C55" i="1"/>
  <c r="L55" i="1"/>
  <c r="C35" i="1"/>
  <c r="L35" i="1"/>
  <c r="C27" i="1"/>
  <c r="L27" i="1"/>
  <c r="C3" i="1"/>
  <c r="L3" i="1"/>
  <c r="Q20" i="1"/>
  <c r="P20" i="1" s="1"/>
  <c r="O20" i="1" s="1"/>
  <c r="L20" i="1"/>
  <c r="Q28" i="1"/>
  <c r="P28" i="1" s="1"/>
  <c r="L28" i="1"/>
  <c r="Q142" i="1"/>
  <c r="P142" i="1" s="1"/>
  <c r="O142" i="1" s="1"/>
  <c r="L142" i="1"/>
  <c r="Q129" i="1"/>
  <c r="P129" i="1" s="1"/>
  <c r="L129" i="1"/>
  <c r="Q120" i="1"/>
  <c r="P120" i="1" s="1"/>
  <c r="L120" i="1"/>
  <c r="L110" i="1"/>
  <c r="L102" i="1"/>
  <c r="L94" i="1"/>
  <c r="Q84" i="1"/>
  <c r="P84" i="1" s="1"/>
  <c r="O84" i="1" s="1"/>
  <c r="L84" i="1"/>
  <c r="Q76" i="1"/>
  <c r="P76" i="1" s="1"/>
  <c r="L76" i="1"/>
  <c r="Q2" i="1"/>
  <c r="P2" i="1" s="1"/>
  <c r="L2" i="1"/>
  <c r="C53" i="1"/>
  <c r="L53" i="1"/>
  <c r="C34" i="1"/>
  <c r="L34" i="1"/>
  <c r="C26" i="1"/>
  <c r="L26" i="1"/>
  <c r="Q9" i="1"/>
  <c r="P9" i="1" s="1"/>
  <c r="O9" i="1" s="1"/>
  <c r="L9" i="1"/>
  <c r="Q19" i="1"/>
  <c r="P19" i="1" s="1"/>
  <c r="O19" i="1" s="1"/>
  <c r="L19" i="1"/>
  <c r="Q57" i="1"/>
  <c r="P57" i="1" s="1"/>
  <c r="O57" i="1" s="1"/>
  <c r="L57" i="1"/>
  <c r="L135" i="1"/>
  <c r="L126" i="1"/>
  <c r="L119" i="1"/>
  <c r="L109" i="1"/>
  <c r="Q101" i="1"/>
  <c r="P101" i="1" s="1"/>
  <c r="O101" i="1" s="1"/>
  <c r="L101" i="1"/>
  <c r="Q92" i="1"/>
  <c r="P92" i="1" s="1"/>
  <c r="O92" i="1" s="1"/>
  <c r="L92" i="1"/>
  <c r="Q83" i="1"/>
  <c r="P83" i="1" s="1"/>
  <c r="L83" i="1"/>
  <c r="Q75" i="1"/>
  <c r="P75" i="1" s="1"/>
  <c r="O75" i="1" s="1"/>
  <c r="L75" i="1"/>
  <c r="Q105" i="1"/>
  <c r="P105" i="1" s="1"/>
  <c r="O105" i="1" s="1"/>
  <c r="L105" i="1"/>
  <c r="B73" i="1"/>
  <c r="L73" i="1"/>
  <c r="B52" i="1"/>
  <c r="L52" i="1"/>
  <c r="B33" i="1"/>
  <c r="L33" i="1"/>
  <c r="Q11" i="1"/>
  <c r="P11" i="1" s="1"/>
  <c r="O11" i="1" s="1"/>
  <c r="L11" i="1"/>
  <c r="Q18" i="1"/>
  <c r="P18" i="1" s="1"/>
  <c r="O18" i="1" s="1"/>
  <c r="L18" i="1"/>
  <c r="Q138" i="1"/>
  <c r="P138" i="1" s="1"/>
  <c r="L138" i="1"/>
  <c r="L134" i="1"/>
  <c r="L132" i="1"/>
  <c r="L118" i="1"/>
  <c r="Q108" i="1"/>
  <c r="P108" i="1" s="1"/>
  <c r="O108" i="1" s="1"/>
  <c r="L108" i="1"/>
  <c r="Q100" i="1"/>
  <c r="P100" i="1" s="1"/>
  <c r="L100" i="1"/>
  <c r="Q91" i="1"/>
  <c r="P91" i="1" s="1"/>
  <c r="O91" i="1" s="1"/>
  <c r="L91" i="1"/>
  <c r="Q82" i="1"/>
  <c r="P82" i="1" s="1"/>
  <c r="L82" i="1"/>
  <c r="N29" i="1"/>
  <c r="M29" i="1" s="1"/>
  <c r="N5" i="1"/>
  <c r="M5" i="1" s="1"/>
  <c r="N70" i="1"/>
  <c r="M70" i="1" s="1"/>
  <c r="N34" i="1"/>
  <c r="M34" i="1" s="1"/>
  <c r="N71" i="1"/>
  <c r="M71" i="1" s="1"/>
  <c r="N48" i="1"/>
  <c r="M48" i="1" s="1"/>
  <c r="N30" i="1"/>
  <c r="M30" i="1" s="1"/>
  <c r="P73" i="1"/>
  <c r="O73" i="1" s="1"/>
  <c r="P72" i="1"/>
  <c r="O72" i="1" s="1"/>
  <c r="P52" i="1"/>
  <c r="O52" i="1" s="1"/>
  <c r="N27" i="1"/>
  <c r="M27" i="1" s="1"/>
  <c r="P51" i="1"/>
  <c r="O51" i="1" s="1"/>
  <c r="N69" i="1"/>
  <c r="M69" i="1" s="1"/>
  <c r="N26" i="1"/>
  <c r="M26" i="1" s="1"/>
  <c r="P33" i="1"/>
  <c r="O33" i="1" s="1"/>
  <c r="N53" i="1"/>
  <c r="M53" i="1" s="1"/>
  <c r="N6" i="1"/>
  <c r="M6" i="1" s="1"/>
  <c r="P32" i="1"/>
  <c r="O32" i="1" s="1"/>
  <c r="P24" i="1"/>
  <c r="O24" i="1" s="1"/>
  <c r="N37" i="1"/>
  <c r="M37" i="1" s="1"/>
  <c r="P8" i="1"/>
  <c r="O8" i="1" s="1"/>
  <c r="N12" i="1"/>
  <c r="M12" i="1" s="1"/>
  <c r="P47" i="1"/>
  <c r="O47" i="1" s="1"/>
  <c r="P31" i="1"/>
  <c r="O31" i="1" s="1"/>
  <c r="P7" i="1"/>
  <c r="O7" i="1" s="1"/>
  <c r="N36" i="1"/>
  <c r="M36" i="1" s="1"/>
  <c r="N10" i="1"/>
  <c r="M10" i="1" s="1"/>
  <c r="N112" i="1"/>
  <c r="M112" i="1" s="1"/>
  <c r="N113" i="1"/>
  <c r="M113" i="1" s="1"/>
  <c r="N90" i="1"/>
  <c r="M90" i="1" s="1"/>
  <c r="N35" i="1"/>
  <c r="M35" i="1" s="1"/>
  <c r="N3" i="1"/>
  <c r="M3" i="1" s="1"/>
  <c r="N128" i="1"/>
  <c r="M128" i="1" s="1"/>
  <c r="N124" i="1"/>
  <c r="M124" i="1" s="1"/>
  <c r="N114" i="1"/>
  <c r="M114" i="1" s="1"/>
  <c r="N4" i="1"/>
  <c r="M4" i="1" s="1"/>
  <c r="N115" i="1"/>
  <c r="M115" i="1" s="1"/>
  <c r="N28" i="1"/>
  <c r="M28" i="1" s="1"/>
  <c r="N76" i="1"/>
  <c r="M76" i="1" s="1"/>
  <c r="N15" i="1"/>
  <c r="M15" i="1" s="1"/>
  <c r="N137" i="1"/>
  <c r="M137" i="1" s="1"/>
  <c r="N131" i="1"/>
  <c r="M131" i="1" s="1"/>
  <c r="N111" i="1"/>
  <c r="M111" i="1" s="1"/>
  <c r="N106" i="1"/>
  <c r="M106" i="1" s="1"/>
  <c r="N97" i="1"/>
  <c r="M97" i="1" s="1"/>
  <c r="N79" i="1"/>
  <c r="M79" i="1" s="1"/>
  <c r="Q135" i="1"/>
  <c r="P135" i="1" s="1"/>
  <c r="O135" i="1" s="1"/>
  <c r="Q126" i="1"/>
  <c r="P126" i="1" s="1"/>
  <c r="O126" i="1" s="1"/>
  <c r="Q119" i="1"/>
  <c r="P119" i="1" s="1"/>
  <c r="O119" i="1" s="1"/>
  <c r="Q110" i="1"/>
  <c r="P110" i="1" s="1"/>
  <c r="O110" i="1" s="1"/>
  <c r="Q103" i="1"/>
  <c r="P103" i="1" s="1"/>
  <c r="O103" i="1" s="1"/>
  <c r="Q95" i="1"/>
  <c r="P95" i="1" s="1"/>
  <c r="O95" i="1" s="1"/>
  <c r="P55" i="1"/>
  <c r="O55" i="1" s="1"/>
  <c r="N138" i="1"/>
  <c r="M138" i="1" s="1"/>
  <c r="N14" i="1"/>
  <c r="M14" i="1" s="1"/>
  <c r="N116" i="1"/>
  <c r="M116" i="1" s="1"/>
  <c r="N96" i="1"/>
  <c r="M96" i="1" s="1"/>
  <c r="N78" i="1"/>
  <c r="M78" i="1" s="1"/>
  <c r="Q143" i="1"/>
  <c r="P143" i="1" s="1"/>
  <c r="O143" i="1" s="1"/>
  <c r="Q134" i="1"/>
  <c r="P134" i="1" s="1"/>
  <c r="O134" i="1" s="1"/>
  <c r="Q132" i="1"/>
  <c r="P132" i="1" s="1"/>
  <c r="O132" i="1" s="1"/>
  <c r="Q118" i="1"/>
  <c r="P118" i="1" s="1"/>
  <c r="O118" i="1" s="1"/>
  <c r="Q109" i="1"/>
  <c r="P109" i="1" s="1"/>
  <c r="O109" i="1" s="1"/>
  <c r="Q102" i="1"/>
  <c r="P102" i="1" s="1"/>
  <c r="O102" i="1" s="1"/>
  <c r="Q94" i="1"/>
  <c r="P94" i="1" s="1"/>
  <c r="O94" i="1" s="1"/>
  <c r="Q85" i="1"/>
  <c r="P85" i="1" s="1"/>
  <c r="O85" i="1" s="1"/>
  <c r="Q77" i="1"/>
  <c r="P77" i="1" s="1"/>
  <c r="O77" i="1" s="1"/>
  <c r="Q21" i="1"/>
  <c r="P21" i="1" s="1"/>
  <c r="O21" i="1" s="1"/>
  <c r="Q13" i="1"/>
  <c r="P13" i="1" s="1"/>
  <c r="O13" i="1" s="1"/>
  <c r="N129" i="1"/>
  <c r="M129" i="1" s="1"/>
  <c r="N120" i="1"/>
  <c r="M120" i="1" s="1"/>
  <c r="N127" i="1"/>
  <c r="M127" i="1" s="1"/>
  <c r="N122" i="1"/>
  <c r="M122" i="1" s="1"/>
  <c r="N25" i="1"/>
  <c r="M25" i="1" s="1"/>
  <c r="N130" i="1"/>
  <c r="M130" i="1" s="1"/>
  <c r="N121" i="1"/>
  <c r="M121" i="1" s="1"/>
  <c r="N17" i="1"/>
  <c r="M17" i="1" s="1"/>
  <c r="N125" i="1"/>
  <c r="M125" i="1" s="1"/>
  <c r="N16" i="1"/>
  <c r="M16" i="1" s="1"/>
  <c r="N98" i="1"/>
  <c r="M98" i="1" s="1"/>
  <c r="N89" i="1"/>
  <c r="M89" i="1" s="1"/>
  <c r="N80" i="1"/>
  <c r="M80" i="1" s="1"/>
  <c r="I86" i="1"/>
  <c r="G86" i="1" s="1"/>
  <c r="O76" i="1"/>
  <c r="I74" i="1"/>
  <c r="G74" i="1" s="1"/>
  <c r="I136" i="1"/>
  <c r="G136" i="1" s="1"/>
  <c r="O70" i="1"/>
  <c r="O22" i="1"/>
  <c r="O138" i="1"/>
  <c r="O69" i="1"/>
  <c r="O14" i="1"/>
  <c r="O48" i="1"/>
  <c r="O37" i="1"/>
  <c r="O12" i="1"/>
  <c r="O36" i="1"/>
  <c r="O6" i="1"/>
  <c r="O78" i="1"/>
  <c r="O30" i="1"/>
  <c r="O5" i="1"/>
  <c r="O29" i="1"/>
  <c r="O4" i="1"/>
  <c r="N83" i="1"/>
  <c r="M83" i="1" s="1"/>
  <c r="O83" i="1"/>
  <c r="N2" i="1"/>
  <c r="M2" i="1" s="1"/>
  <c r="O2" i="1"/>
  <c r="O125" i="1"/>
  <c r="O28" i="1"/>
  <c r="E105" i="1"/>
  <c r="C105" i="1" s="1"/>
  <c r="I117" i="1"/>
  <c r="G117" i="1" s="1"/>
  <c r="O137" i="1"/>
  <c r="O128" i="1"/>
  <c r="O124" i="1"/>
  <c r="O112" i="1"/>
  <c r="O113" i="1"/>
  <c r="O100" i="1"/>
  <c r="O35" i="1"/>
  <c r="O27" i="1"/>
  <c r="O131" i="1"/>
  <c r="O114" i="1"/>
  <c r="O90" i="1"/>
  <c r="O82" i="1"/>
  <c r="O53" i="1"/>
  <c r="O34" i="1"/>
  <c r="O26" i="1"/>
  <c r="O10" i="1"/>
  <c r="O127" i="1"/>
  <c r="O122" i="1"/>
  <c r="O111" i="1"/>
  <c r="O106" i="1"/>
  <c r="O98" i="1"/>
  <c r="O25" i="1"/>
  <c r="O17" i="1"/>
  <c r="O130" i="1"/>
  <c r="O121" i="1"/>
  <c r="O116" i="1"/>
  <c r="O97" i="1"/>
  <c r="O80" i="1"/>
  <c r="O16" i="1"/>
  <c r="O129" i="1"/>
  <c r="O120" i="1"/>
  <c r="O115" i="1"/>
  <c r="O96" i="1"/>
  <c r="O79" i="1"/>
  <c r="O71" i="1"/>
  <c r="O15" i="1"/>
  <c r="O3" i="1"/>
  <c r="B27" i="1"/>
  <c r="B141" i="1"/>
  <c r="C89" i="1"/>
  <c r="B3" i="1"/>
  <c r="B137" i="1"/>
  <c r="C81" i="1"/>
  <c r="B123" i="1"/>
  <c r="B4" i="1"/>
  <c r="B99" i="1"/>
  <c r="B57" i="1"/>
  <c r="B112" i="1"/>
  <c r="B140" i="1"/>
  <c r="B114" i="1"/>
  <c r="B91" i="1"/>
  <c r="B55" i="1"/>
  <c r="B20" i="1"/>
  <c r="C139" i="1"/>
  <c r="C73" i="1"/>
  <c r="B75" i="1"/>
  <c r="B133" i="1"/>
  <c r="B108" i="1"/>
  <c r="B90" i="1"/>
  <c r="B53" i="1"/>
  <c r="B19" i="1"/>
  <c r="C127" i="1"/>
  <c r="C52" i="1"/>
  <c r="B92" i="1"/>
  <c r="B128" i="1"/>
  <c r="B113" i="1"/>
  <c r="B84" i="1"/>
  <c r="B36" i="1"/>
  <c r="B18" i="1"/>
  <c r="C122" i="1"/>
  <c r="C33" i="1"/>
  <c r="B131" i="1"/>
  <c r="B107" i="1"/>
  <c r="B83" i="1"/>
  <c r="B35" i="1"/>
  <c r="B12" i="1"/>
  <c r="C111" i="1"/>
  <c r="C25" i="1"/>
  <c r="B26" i="1"/>
  <c r="B125" i="1"/>
  <c r="B101" i="1"/>
  <c r="B82" i="1"/>
  <c r="B34" i="1"/>
  <c r="B11" i="1"/>
  <c r="C106" i="1"/>
  <c r="C17" i="1"/>
  <c r="B124" i="1"/>
  <c r="B100" i="1"/>
  <c r="B76" i="1"/>
  <c r="B28" i="1"/>
  <c r="B10" i="1"/>
  <c r="C98" i="1"/>
  <c r="C9" i="1"/>
  <c r="C74" i="1"/>
  <c r="B74" i="1"/>
  <c r="B117" i="1"/>
  <c r="C117" i="1"/>
  <c r="B86" i="1"/>
  <c r="C86" i="1"/>
  <c r="C2" i="1"/>
  <c r="B2" i="1"/>
  <c r="C142" i="1"/>
  <c r="C97" i="1"/>
  <c r="C72" i="1"/>
  <c r="C24" i="1"/>
  <c r="C104" i="1"/>
  <c r="C71" i="1"/>
  <c r="C7" i="1"/>
  <c r="C138" i="1"/>
  <c r="C135" i="1"/>
  <c r="C126" i="1"/>
  <c r="C119" i="1"/>
  <c r="C110" i="1"/>
  <c r="C103" i="1"/>
  <c r="C95" i="1"/>
  <c r="C78" i="1"/>
  <c r="C70" i="1"/>
  <c r="C48" i="1"/>
  <c r="C30" i="1"/>
  <c r="C22" i="1"/>
  <c r="C14" i="1"/>
  <c r="C6" i="1"/>
  <c r="C121" i="1"/>
  <c r="C51" i="1"/>
  <c r="C129" i="1"/>
  <c r="C87" i="1"/>
  <c r="C31" i="1"/>
  <c r="B130" i="1"/>
  <c r="B116" i="1"/>
  <c r="B88" i="1"/>
  <c r="B80" i="1"/>
  <c r="B32" i="1"/>
  <c r="B16" i="1"/>
  <c r="B8" i="1"/>
  <c r="C143" i="1"/>
  <c r="C134" i="1"/>
  <c r="C132" i="1"/>
  <c r="C118" i="1"/>
  <c r="C109" i="1"/>
  <c r="C102" i="1"/>
  <c r="C94" i="1"/>
  <c r="C85" i="1"/>
  <c r="C77" i="1"/>
  <c r="C69" i="1"/>
  <c r="C37" i="1"/>
  <c r="C29" i="1"/>
  <c r="C21" i="1"/>
  <c r="C13" i="1"/>
  <c r="C5" i="1"/>
  <c r="C120" i="1"/>
  <c r="C96" i="1"/>
  <c r="C23" i="1"/>
  <c r="B136" i="1"/>
  <c r="B115" i="1"/>
  <c r="B79" i="1"/>
  <c r="B47" i="1"/>
  <c r="B15" i="1"/>
  <c r="D3" i="5"/>
  <c r="D14" i="4"/>
  <c r="D22" i="4" s="1"/>
  <c r="D13" i="4"/>
  <c r="D25" i="4" s="1"/>
  <c r="N100" i="1" l="1"/>
  <c r="M100" i="1" s="1"/>
  <c r="N9" i="1"/>
  <c r="M9" i="1" s="1"/>
  <c r="N92" i="1"/>
  <c r="M92" i="1" s="1"/>
  <c r="N99" i="1"/>
  <c r="M99" i="1" s="1"/>
  <c r="N107" i="1"/>
  <c r="M107" i="1" s="1"/>
  <c r="N57" i="1"/>
  <c r="M57" i="1" s="1"/>
  <c r="N133" i="1"/>
  <c r="M133" i="1" s="1"/>
  <c r="N82" i="1"/>
  <c r="M82" i="1" s="1"/>
  <c r="N91" i="1"/>
  <c r="M91" i="1" s="1"/>
  <c r="N81" i="1"/>
  <c r="M81" i="1" s="1"/>
  <c r="N87" i="1"/>
  <c r="M87" i="1" s="1"/>
  <c r="N22" i="1"/>
  <c r="M22" i="1" s="1"/>
  <c r="N20" i="1"/>
  <c r="M20" i="1" s="1"/>
  <c r="N88" i="1"/>
  <c r="M88" i="1" s="1"/>
  <c r="N23" i="1"/>
  <c r="M23" i="1" s="1"/>
  <c r="N141" i="1"/>
  <c r="M141" i="1" s="1"/>
  <c r="N142" i="1"/>
  <c r="M142" i="1" s="1"/>
  <c r="N104" i="1"/>
  <c r="M104" i="1" s="1"/>
  <c r="N139" i="1"/>
  <c r="M139" i="1" s="1"/>
  <c r="N108" i="1"/>
  <c r="M108" i="1" s="1"/>
  <c r="N140" i="1"/>
  <c r="M140" i="1" s="1"/>
  <c r="N123" i="1"/>
  <c r="M123" i="1" s="1"/>
  <c r="N105" i="1"/>
  <c r="M105" i="1" s="1"/>
  <c r="L74" i="1"/>
  <c r="N19" i="1"/>
  <c r="M19" i="1" s="1"/>
  <c r="N101" i="1"/>
  <c r="M101" i="1" s="1"/>
  <c r="N11" i="1"/>
  <c r="M11" i="1" s="1"/>
  <c r="L86" i="1"/>
  <c r="L136" i="1"/>
  <c r="N75" i="1"/>
  <c r="M75" i="1" s="1"/>
  <c r="N18" i="1"/>
  <c r="M18" i="1" s="1"/>
  <c r="N84" i="1"/>
  <c r="M84" i="1" s="1"/>
  <c r="Q117" i="1"/>
  <c r="P117" i="1" s="1"/>
  <c r="L117" i="1"/>
  <c r="E19" i="6" a="1"/>
  <c r="E19" i="6" s="1"/>
  <c r="F19" i="6" s="1"/>
  <c r="G19" i="6" s="1"/>
  <c r="E10" i="6" a="1"/>
  <c r="E10" i="6" s="1"/>
  <c r="F10" i="6" s="1"/>
  <c r="G10" i="6" s="1"/>
  <c r="E18" i="6" a="1"/>
  <c r="E18" i="6" s="1"/>
  <c r="F18" i="6" s="1"/>
  <c r="G18" i="6" s="1"/>
  <c r="E9" i="6" a="1"/>
  <c r="E9" i="6" s="1"/>
  <c r="F9" i="6" s="1"/>
  <c r="G9" i="6" s="1"/>
  <c r="E17" i="6" a="1"/>
  <c r="E17" i="6" s="1"/>
  <c r="F17" i="6" s="1"/>
  <c r="G17" i="6" s="1"/>
  <c r="E8" i="6" a="1"/>
  <c r="E8" i="6" s="1"/>
  <c r="F8" i="6" s="1"/>
  <c r="G8" i="6" s="1"/>
  <c r="E16" i="6" a="1"/>
  <c r="E16" i="6" s="1"/>
  <c r="F16" i="6" s="1"/>
  <c r="G16" i="6" s="1"/>
  <c r="E7" i="6" a="1"/>
  <c r="E7" i="6" s="1"/>
  <c r="F7" i="6" s="1"/>
  <c r="G7" i="6" s="1"/>
  <c r="E15" i="6" a="1"/>
  <c r="E15" i="6" s="1"/>
  <c r="F15" i="6" s="1"/>
  <c r="G15" i="6" s="1"/>
  <c r="E6" i="6" a="1"/>
  <c r="E6" i="6" s="1"/>
  <c r="F6" i="6" s="1"/>
  <c r="G6" i="6" s="1"/>
  <c r="E13" i="6" a="1"/>
  <c r="E13" i="6" s="1"/>
  <c r="F13" i="6" s="1"/>
  <c r="G13" i="6" s="1"/>
  <c r="E5" i="6" a="1"/>
  <c r="E5" i="6" s="1"/>
  <c r="F5" i="6" s="1"/>
  <c r="G5" i="6" s="1"/>
  <c r="N143" i="1"/>
  <c r="M143" i="1" s="1"/>
  <c r="N85" i="1"/>
  <c r="M85" i="1" s="1"/>
  <c r="N132" i="1"/>
  <c r="M132" i="1" s="1"/>
  <c r="N126" i="1"/>
  <c r="M126" i="1" s="1"/>
  <c r="N135" i="1"/>
  <c r="M135" i="1" s="1"/>
  <c r="N134" i="1"/>
  <c r="M134" i="1" s="1"/>
  <c r="N103" i="1"/>
  <c r="M103" i="1" s="1"/>
  <c r="N21" i="1"/>
  <c r="M21" i="1" s="1"/>
  <c r="N102" i="1"/>
  <c r="M102" i="1" s="1"/>
  <c r="N118" i="1"/>
  <c r="M118" i="1" s="1"/>
  <c r="Q136" i="1"/>
  <c r="P136" i="1" s="1"/>
  <c r="O136" i="1" s="1"/>
  <c r="Q86" i="1"/>
  <c r="P86" i="1" s="1"/>
  <c r="O86" i="1" s="1"/>
  <c r="N13" i="1"/>
  <c r="M13" i="1" s="1"/>
  <c r="N110" i="1"/>
  <c r="M110" i="1" s="1"/>
  <c r="Q74" i="1"/>
  <c r="P74" i="1" s="1"/>
  <c r="O74" i="1" s="1"/>
  <c r="N94" i="1"/>
  <c r="M94" i="1" s="1"/>
  <c r="N109" i="1"/>
  <c r="M109" i="1" s="1"/>
  <c r="N95" i="1"/>
  <c r="M95" i="1" s="1"/>
  <c r="N119" i="1"/>
  <c r="M119" i="1" s="1"/>
  <c r="N77" i="1"/>
  <c r="M77" i="1" s="1"/>
  <c r="B105" i="1"/>
  <c r="N117" i="1"/>
  <c r="M117" i="1" s="1"/>
  <c r="O117" i="1"/>
  <c r="D24" i="4"/>
  <c r="D23" i="4"/>
  <c r="N86" i="1" l="1"/>
  <c r="M86" i="1" s="1"/>
  <c r="N136" i="1"/>
  <c r="M136" i="1" s="1"/>
  <c r="N74" i="1"/>
  <c r="M74" i="1" s="1"/>
</calcChain>
</file>

<file path=xl/sharedStrings.xml><?xml version="1.0" encoding="utf-8"?>
<sst xmlns="http://schemas.openxmlformats.org/spreadsheetml/2006/main" count="728" uniqueCount="268">
  <si>
    <t>CONSIDER</t>
  </si>
  <si>
    <t>DEBUG</t>
  </si>
  <si>
    <t>FATAL</t>
  </si>
  <si>
    <t>IDEA</t>
  </si>
  <si>
    <t>INFO</t>
  </si>
  <si>
    <t>LOG</t>
  </si>
  <si>
    <t>NB</t>
  </si>
  <si>
    <t>NOTE</t>
  </si>
  <si>
    <t>PS</t>
  </si>
  <si>
    <t>QUESTION</t>
  </si>
  <si>
    <t>TASK</t>
  </si>
  <si>
    <t>CHANGED</t>
  </si>
  <si>
    <t>FIXED</t>
  </si>
  <si>
    <t>OPTIMIZED</t>
  </si>
  <si>
    <t>UNDONE</t>
  </si>
  <si>
    <t>CHGME</t>
  </si>
  <si>
    <t>FIXME</t>
  </si>
  <si>
    <t>NOTREACHED</t>
  </si>
  <si>
    <t>OPTIMIZE</t>
  </si>
  <si>
    <t>REFACTOR</t>
  </si>
  <si>
    <t>REMOVE</t>
  </si>
  <si>
    <t>REVIEW</t>
  </si>
  <si>
    <t>TODO</t>
  </si>
  <si>
    <t>ATTENTION</t>
  </si>
  <si>
    <t>ATTN</t>
  </si>
  <si>
    <t>COMBAK</t>
  </si>
  <si>
    <t>HACK</t>
  </si>
  <si>
    <t>WARN</t>
  </si>
  <si>
    <t>WARNING</t>
  </si>
  <si>
    <t>TEMP</t>
  </si>
  <si>
    <t>XXX</t>
  </si>
  <si>
    <t>DEPRECATED</t>
  </si>
  <si>
    <t>BROKEN</t>
  </si>
  <si>
    <t>BUG</t>
  </si>
  <si>
    <t>OMG</t>
  </si>
  <si>
    <t>ERR</t>
  </si>
  <si>
    <t>ERROR</t>
  </si>
  <si>
    <t>OMFGRLY</t>
  </si>
  <si>
    <t>WTF</t>
  </si>
  <si>
    <t>ETHER</t>
  </si>
  <si>
    <t>TABULO</t>
  </si>
  <si>
    <t>TAU</t>
  </si>
  <si>
    <t>category</t>
  </si>
  <si>
    <t>todo</t>
  </si>
  <si>
    <t>TODOC</t>
  </si>
  <si>
    <t>TBD</t>
  </si>
  <si>
    <t>TBS</t>
  </si>
  <si>
    <t>origin</t>
  </si>
  <si>
    <t>todo_extra</t>
  </si>
  <si>
    <t>IMPROVE</t>
  </si>
  <si>
    <t>spook</t>
  </si>
  <si>
    <t>noted</t>
  </si>
  <si>
    <t>DECIDE</t>
  </si>
  <si>
    <t>TEST</t>
  </si>
  <si>
    <t>item</t>
  </si>
  <si>
    <t>loglevel</t>
  </si>
  <si>
    <t>alert</t>
  </si>
  <si>
    <t>issue</t>
  </si>
  <si>
    <t>status</t>
  </si>
  <si>
    <t>MAYBREAK</t>
  </si>
  <si>
    <t>person</t>
  </si>
  <si>
    <t>DONE</t>
  </si>
  <si>
    <t>REVERT</t>
  </si>
  <si>
    <t>intent</t>
  </si>
  <si>
    <t>TESTED</t>
  </si>
  <si>
    <t>bad</t>
  </si>
  <si>
    <t>CRITICAL</t>
  </si>
  <si>
    <t>KENTNL</t>
  </si>
  <si>
    <t>DAGOLDEN</t>
  </si>
  <si>
    <t>remarks</t>
  </si>
  <si>
    <t>(?:\w*[0-9a-zA-Z]+\w*[0-9a-zA-Z])</t>
  </si>
  <si>
    <t>Name</t>
  </si>
  <si>
    <t>Value</t>
  </si>
  <si>
    <t>Comments</t>
  </si>
  <si>
    <t>what can apear as the actual 'reference' (label) once inside 
a twitter construct (such as a hashtag). So this would be the topic itself (without the '#' prefix), or the user handle (without the '@' prefix)</t>
  </si>
  <si>
    <t>A simplified twitter hashtag, e.g:   #hello</t>
  </si>
  <si>
    <t>A simplified twitter mention (of a user), e.g. : @charlie</t>
  </si>
  <si>
    <t>(?:</t>
  </si>
  <si>
    <t>)</t>
  </si>
  <si>
    <t>re_tag_begin</t>
  </si>
  <si>
    <t>re_tag_end</t>
  </si>
  <si>
    <t>re_tag_mention</t>
  </si>
  <si>
    <t>re_tag_bad</t>
  </si>
  <si>
    <t>re_tag_good</t>
  </si>
  <si>
    <t>re_tag_bad_sym</t>
  </si>
  <si>
    <t>re_tag_good_sym</t>
  </si>
  <si>
    <t>re_tag_neutral_sym</t>
  </si>
  <si>
    <t>re_tag_mention_sym</t>
  </si>
  <si>
    <t>Regex for chars that must precede the usual twitter mention.</t>
  </si>
  <si>
    <t>Regex for chars that must precede the usual twitter hashtag.</t>
  </si>
  <si>
    <t>re_tw_label</t>
  </si>
  <si>
    <t>re_tw_hashtag</t>
  </si>
  <si>
    <t>re_tw_mention</t>
  </si>
  <si>
    <t>[@]</t>
  </si>
  <si>
    <t>[%]</t>
  </si>
  <si>
    <t>[+]</t>
  </si>
  <si>
    <t>[-]</t>
  </si>
  <si>
    <t>Twitter</t>
  </si>
  <si>
    <t>Noted</t>
  </si>
  <si>
    <t>emotion</t>
  </si>
  <si>
    <t>shout</t>
  </si>
  <si>
    <t>TRACE</t>
  </si>
  <si>
    <t>CHANGE</t>
  </si>
  <si>
    <t>ALERT</t>
  </si>
  <si>
    <t>EMERGENCY</t>
  </si>
  <si>
    <t>NOTICE</t>
  </si>
  <si>
    <t>PANIC</t>
  </si>
  <si>
    <t>DUMP</t>
  </si>
  <si>
    <t>label</t>
  </si>
  <si>
    <t>ARGS?|ARGUMENTS?</t>
  </si>
  <si>
    <t>PARAMS?|PARAMETERS?</t>
  </si>
  <si>
    <t>OPTS?|OPTIONS?</t>
  </si>
  <si>
    <t>RETURNS?</t>
  </si>
  <si>
    <t>OTHERWISE</t>
  </si>
  <si>
    <t>doc.oo</t>
  </si>
  <si>
    <t>doc.unit</t>
  </si>
  <si>
    <t>doc.dep</t>
  </si>
  <si>
    <t>INHERITS(?: FROM)?</t>
  </si>
  <si>
    <t>EXTENDS?</t>
  </si>
  <si>
    <t>CONSUMES?</t>
  </si>
  <si>
    <t>REQUIRES?</t>
  </si>
  <si>
    <t>DELEGATES?</t>
  </si>
  <si>
    <t>([*?</t>
  </si>
  <si>
    <t>RETURN]S[?</t>
  </si>
  <si>
    <t>INTERFACES?</t>
  </si>
  <si>
    <t>ROLES?</t>
  </si>
  <si>
    <t>OBJECTS?</t>
  </si>
  <si>
    <t>CLASS(?:ES)?</t>
  </si>
  <si>
    <t>TYPES?</t>
  </si>
  <si>
    <t>UNITS?</t>
  </si>
  <si>
    <t>MODULES?</t>
  </si>
  <si>
    <t>GEMS?</t>
  </si>
  <si>
    <t>DEPENDS?(?: ON)?</t>
  </si>
  <si>
    <t>ATTR(?:IBUTE)?S?</t>
  </si>
  <si>
    <t>SLOTS?</t>
  </si>
  <si>
    <t>doc.gen</t>
  </si>
  <si>
    <t>IF</t>
  </si>
  <si>
    <t>UNLESS</t>
  </si>
  <si>
    <t>WHILE</t>
  </si>
  <si>
    <t>doc.exp</t>
  </si>
  <si>
    <t>FOR(?:EACH)</t>
  </si>
  <si>
    <t>REPEAT</t>
  </si>
  <si>
    <t>UNTIL</t>
  </si>
  <si>
    <t>EXIT</t>
  </si>
  <si>
    <t>BREAK</t>
  </si>
  <si>
    <t>NEXT</t>
  </si>
  <si>
    <t>CONTINUE</t>
  </si>
  <si>
    <t>LAST</t>
  </si>
  <si>
    <t>LOOP</t>
  </si>
  <si>
    <t>KEYS?</t>
  </si>
  <si>
    <t>VALUES?</t>
  </si>
  <si>
    <t>ARRAY</t>
  </si>
  <si>
    <t>HASH</t>
  </si>
  <si>
    <t>REF</t>
  </si>
  <si>
    <t>ARRAY_?REF</t>
  </si>
  <si>
    <t>HASH_?REF</t>
  </si>
  <si>
    <t>PKGS?|PACKAGES?</t>
  </si>
  <si>
    <t>CONSUME</t>
  </si>
  <si>
    <t>DELEGATE</t>
  </si>
  <si>
    <t>DEPENDS</t>
  </si>
  <si>
    <t>EXTENDS</t>
  </si>
  <si>
    <t>INHERITS</t>
  </si>
  <si>
    <t>REQUIRES</t>
  </si>
  <si>
    <t/>
  </si>
  <si>
    <t>FOR</t>
  </si>
  <si>
    <t>ARRAY_REF</t>
  </si>
  <si>
    <t>HASH_REF</t>
  </si>
  <si>
    <t>TYPE</t>
  </si>
  <si>
    <t>VALUE</t>
  </si>
  <si>
    <t>KEY</t>
  </si>
  <si>
    <t>ATTRIBUTE</t>
  </si>
  <si>
    <t>CLASS</t>
  </si>
  <si>
    <t>INTERFACE</t>
  </si>
  <si>
    <t>OBJECT</t>
  </si>
  <si>
    <t>PROPERTY</t>
  </si>
  <si>
    <t>ROLE</t>
  </si>
  <si>
    <t>SLOT</t>
  </si>
  <si>
    <t>(?:ON |_)?FAIL(?:URE)?</t>
  </si>
  <si>
    <t>(?:ON |_)?SUCCESS</t>
  </si>
  <si>
    <t>ON_FAILURE</t>
  </si>
  <si>
    <t>ON_SUCCESS</t>
  </si>
  <si>
    <t>ARGUMENTS</t>
  </si>
  <si>
    <t>OPTIONS</t>
  </si>
  <si>
    <t>PARAMETERS</t>
  </si>
  <si>
    <t>RETURN</t>
  </si>
  <si>
    <t>SWITCH</t>
  </si>
  <si>
    <t>GEM</t>
  </si>
  <si>
    <t>LIBRARY</t>
  </si>
  <si>
    <t>MODULE</t>
  </si>
  <si>
    <t>PACKAGE</t>
  </si>
  <si>
    <t>UNIT</t>
  </si>
  <si>
    <t>SWITCHES</t>
  </si>
  <si>
    <t>notedoc</t>
  </si>
  <si>
    <t>in_notedoc</t>
  </si>
  <si>
    <t>in_noted</t>
  </si>
  <si>
    <t>PROPS?|PROPERT(?:Y|IES)?</t>
  </si>
  <si>
    <t>LIB(?:RARY)?</t>
  </si>
  <si>
    <t>hasUnsafeRegex</t>
  </si>
  <si>
    <t>regexTerm</t>
  </si>
  <si>
    <t>regexTermInput</t>
  </si>
  <si>
    <t>anyRegexGuess</t>
  </si>
  <si>
    <t>unsafeRegexGuess</t>
  </si>
  <si>
    <t>hasAnyRegex</t>
  </si>
  <si>
    <t>doc.routine</t>
  </si>
  <si>
    <t>FUNCTION</t>
  </si>
  <si>
    <t>FUNC(?:TION)S?</t>
  </si>
  <si>
    <t>METHODS?</t>
  </si>
  <si>
    <t>(?:SUB)ROUTINES?</t>
  </si>
  <si>
    <t>PROC(?:EDURE)S?</t>
  </si>
  <si>
    <t>METHOD</t>
  </si>
  <si>
    <t>SUBROUTINE</t>
  </si>
  <si>
    <t>PROCEDURE</t>
  </si>
  <si>
    <t>PROGRAM</t>
  </si>
  <si>
    <t>PRGS?|PROG(?:RAMM?E?)S?</t>
  </si>
  <si>
    <t>MAIN</t>
  </si>
  <si>
    <t>SCRIPT</t>
  </si>
  <si>
    <t>EXECUTABLE</t>
  </si>
  <si>
    <t>EXE(?:CUTABLE)S?</t>
  </si>
  <si>
    <t>SCRIPTS?</t>
  </si>
  <si>
    <t>BINARY</t>
  </si>
  <si>
    <t>BINS?|BINAR(?:Y|IES)</t>
  </si>
  <si>
    <t>COMMAND</t>
  </si>
  <si>
    <t>CMDS?|COMMANDS?</t>
  </si>
  <si>
    <t>CLI</t>
  </si>
  <si>
    <t>SHELL</t>
  </si>
  <si>
    <t>SHELLS?</t>
  </si>
  <si>
    <t>SYSTEM</t>
  </si>
  <si>
    <t>OS|(?:OPERATING )?SYSTEMS?</t>
  </si>
  <si>
    <t>LINUX</t>
  </si>
  <si>
    <t>UNIX</t>
  </si>
  <si>
    <t>MACOS</t>
  </si>
  <si>
    <t>MACOS|MAC|OS X</t>
  </si>
  <si>
    <t>WINDOWS</t>
  </si>
  <si>
    <t>DOS</t>
  </si>
  <si>
    <t>ANDROID</t>
  </si>
  <si>
    <t>IOS</t>
  </si>
  <si>
    <t>doc.program</t>
  </si>
  <si>
    <t>doc.system</t>
  </si>
  <si>
    <t>Column1</t>
  </si>
  <si>
    <t>filan</t>
  </si>
  <si>
    <t>falan</t>
  </si>
  <si>
    <t>gibi</t>
  </si>
  <si>
    <t>Atom</t>
  </si>
  <si>
    <t>)\b</t>
  </si>
  <si>
    <t>(?:!\w)[@]?(</t>
  </si>
  <si>
    <t>re_atom_pattern_begin</t>
  </si>
  <si>
    <t>re_atom_pattern_end</t>
  </si>
  <si>
    <t>Note that we use the Perl regex synatx here. 
It will be converted automatically yo Atom's JS syntax with the rest.</t>
  </si>
  <si>
    <t>"</t>
  </si>
  <si>
    <t>Perl Regex</t>
  </si>
  <si>
    <t>JS Regex</t>
  </si>
  <si>
    <t>lang</t>
  </si>
  <si>
    <t>Filan \w gibi</t>
  </si>
  <si>
    <t>regex_perl</t>
  </si>
  <si>
    <t>regex_atom</t>
  </si>
  <si>
    <t>rule_name</t>
  </si>
  <si>
    <t>ok</t>
  </si>
  <si>
    <t>re_tag_ok</t>
  </si>
  <si>
    <t>doc.sub</t>
  </si>
  <si>
    <t>atom_grammatic_name_template</t>
  </si>
  <si>
    <t>grammatic_name</t>
  </si>
  <si>
    <t>target_lang</t>
  </si>
  <si>
    <t>atom_grammatic_group_template</t>
  </si>
  <si>
    <t>storage.type.class.${1:/downcase}._tag.{{category}}._feeling.{{emotion}}.text.{{lang}}</t>
  </si>
  <si>
    <t>grammatic_group</t>
  </si>
  <si>
    <t>g_tag_{{category}}_feeling_{{emotion}}</t>
  </si>
  <si>
    <t>doc.prg</t>
  </si>
  <si>
    <t>doc.sys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</si>
</sst>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ousine"/>
      <family val="2"/>
    </font>
    <font>
      <b/>
      <sz val="12"/>
      <color theme="0"/>
      <name val="Cousine"/>
      <family val="2"/>
    </font>
    <font>
      <b/>
      <sz val="12"/>
      <color theme="1"/>
      <name val="Cousine"/>
      <family val="2"/>
    </font>
    <font>
      <u/>
      <sz val="12"/>
      <color theme="10"/>
      <name val="Cousine"/>
      <family val="2"/>
    </font>
    <font>
      <sz val="10"/>
      <color theme="1"/>
      <name val="Cousine"/>
      <family val="2"/>
    </font>
    <font>
      <i/>
      <sz val="12"/>
      <color theme="1"/>
      <name val="Cousine"/>
      <family val="2"/>
    </font>
    <font>
      <b/>
      <sz val="10"/>
      <color theme="0"/>
      <name val="Cousine"/>
      <family val="2"/>
    </font>
    <font>
      <sz val="12"/>
      <color theme="0" tint="-0.14999847407452621"/>
      <name val="Cousine"/>
      <family val="2"/>
    </font>
    <font>
      <sz val="10"/>
      <color theme="1"/>
      <name val="Arial Unicode MS"/>
      <family val="2"/>
    </font>
    <font>
      <i/>
      <sz val="10"/>
      <color theme="1"/>
      <name val="Cousine"/>
      <family val="2"/>
    </font>
    <font>
      <i/>
      <sz val="10"/>
      <color theme="0" tint="-0.249977111117893"/>
      <name val="Cousine"/>
      <family val="2"/>
    </font>
    <font>
      <sz val="10"/>
      <color theme="0" tint="-0.249977111117893"/>
      <name val="Cousine"/>
      <family val="2"/>
    </font>
    <font>
      <i/>
      <sz val="10"/>
      <color theme="0" tint="-0.34998626667073579"/>
      <name val="Cousine"/>
      <family val="2"/>
    </font>
    <font>
      <sz val="12"/>
      <color theme="0" tint="-0.34998626667073579"/>
      <name val="Cousine"/>
      <family val="2"/>
    </font>
    <font>
      <sz val="10"/>
      <color theme="0" tint="-0.34998626667073579"/>
      <name val="Cousine"/>
      <family val="2"/>
    </font>
    <font>
      <sz val="10"/>
      <color rgb="FF000000"/>
      <name val="Cousine"/>
      <family val="2"/>
    </font>
    <font>
      <b/>
      <sz val="10"/>
      <color theme="1"/>
      <name val="Cousine"/>
      <family val="2"/>
    </font>
    <font>
      <i/>
      <sz val="10"/>
      <color theme="1"/>
      <name val="Arial Unicode MS"/>
      <family val="2"/>
    </font>
    <font>
      <sz val="9"/>
      <color theme="1"/>
      <name val="Cousine"/>
      <family val="2"/>
    </font>
    <font>
      <sz val="10"/>
      <name val="Cousine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vertical="top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0" fillId="0" borderId="0" xfId="0" quotePrefix="1" applyAlignment="1">
      <alignment vertical="top"/>
    </xf>
    <xf numFmtId="0" fontId="3" fillId="0" borderId="0" xfId="1" applyAlignment="1">
      <alignment vertical="top"/>
    </xf>
    <xf numFmtId="0" fontId="0" fillId="2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3" borderId="0" xfId="0" quotePrefix="1" applyFill="1" applyAlignment="1">
      <alignment vertical="top"/>
    </xf>
    <xf numFmtId="0" fontId="2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0" fillId="4" borderId="0" xfId="0" applyFill="1" applyAlignment="1">
      <alignment vertical="top"/>
    </xf>
    <xf numFmtId="0" fontId="1" fillId="5" borderId="0" xfId="0" applyFont="1" applyFill="1" applyAlignment="1">
      <alignment vertical="top"/>
    </xf>
    <xf numFmtId="0" fontId="6" fillId="5" borderId="0" xfId="0" applyFont="1" applyFill="1" applyAlignment="1">
      <alignment vertical="top"/>
    </xf>
    <xf numFmtId="0" fontId="0" fillId="0" borderId="0" xfId="0" quotePrefix="1"/>
    <xf numFmtId="0" fontId="7" fillId="0" borderId="0" xfId="0" applyFont="1"/>
    <xf numFmtId="0" fontId="8" fillId="0" borderId="0" xfId="0" applyFont="1"/>
    <xf numFmtId="0" fontId="9" fillId="0" borderId="0" xfId="0" applyFont="1"/>
    <xf numFmtId="0" fontId="4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4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0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0" fillId="0" borderId="0" xfId="0" applyProtection="1">
      <protection locked="0"/>
    </xf>
    <xf numFmtId="0" fontId="15" fillId="0" borderId="0" xfId="0" applyFont="1" applyProtection="1">
      <protection locked="0"/>
    </xf>
    <xf numFmtId="0" fontId="7" fillId="0" borderId="0" xfId="0" applyNumberFormat="1" applyFont="1"/>
    <xf numFmtId="0" fontId="17" fillId="0" borderId="0" xfId="0" applyFont="1" applyProtection="1">
      <protection locked="0"/>
    </xf>
    <xf numFmtId="0" fontId="9" fillId="0" borderId="0" xfId="0" applyNumberFormat="1" applyFont="1"/>
    <xf numFmtId="0" fontId="10" fillId="0" borderId="0" xfId="0" applyNumberFormat="1" applyFont="1"/>
    <xf numFmtId="0" fontId="12" fillId="0" borderId="0" xfId="0" applyNumberFormat="1" applyFont="1"/>
    <xf numFmtId="0" fontId="0" fillId="0" borderId="0" xfId="0" applyAlignment="1">
      <alignment vertical="top" wrapText="1"/>
    </xf>
    <xf numFmtId="0" fontId="18" fillId="0" borderId="0" xfId="0" applyFont="1" applyProtection="1">
      <protection locked="0"/>
    </xf>
    <xf numFmtId="0" fontId="18" fillId="0" borderId="0" xfId="0" applyFont="1"/>
    <xf numFmtId="0" fontId="19" fillId="0" borderId="0" xfId="0" applyFont="1"/>
  </cellXfs>
  <cellStyles count="2">
    <cellStyle name="Hyperlink" xfId="1" builtinId="8"/>
    <cellStyle name="Normal" xfId="0" builtinId="0"/>
  </cellStyles>
  <dxfs count="37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b val="0"/>
        <i/>
        <strike val="0"/>
        <outline val="0"/>
        <shadow val="0"/>
        <u val="none"/>
        <vertAlign val="baseline"/>
        <sz val="10"/>
        <color theme="0" tint="-0.34998626667073579"/>
        <name val="Cousine"/>
        <family val="2"/>
        <scheme val="none"/>
      </font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ousine"/>
        <family val="2"/>
        <scheme val="none"/>
      </font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Cousine"/>
        <family val="2"/>
        <scheme val="none"/>
      </font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Cousine"/>
        <family val="2"/>
        <scheme val="none"/>
      </font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numFmt numFmtId="0" formatCode="General"/>
      <protection locked="0" hidden="0"/>
    </dxf>
    <dxf>
      <font>
        <b val="0"/>
        <i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protection locked="0" hidden="0"/>
    </dxf>
    <dxf>
      <font>
        <b val="0"/>
      </font>
      <protection locked="0" hidden="0"/>
    </dxf>
    <dxf>
      <font>
        <b/>
      </font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Cousine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ousine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0"/>
        <name val="Cousine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Cousine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0" tint="-0.14999847407452621"/>
        <name val="Cousine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0" tint="-0.14999847407452621"/>
        <name val="Cousine"/>
        <family val="2"/>
        <scheme val="none"/>
      </font>
      <numFmt numFmtId="0" formatCode="General"/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  <fill>
        <patternFill>
          <bgColor theme="0" tint="-0.34998626667073579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2BBA49-03BA-774E-B4F7-D528FB55F6B0}" name="Table2" displayName="Table2" ref="B1:Q145" totalsRowShown="0">
  <autoFilter ref="B1:Q145" xr:uid="{B18A7198-2465-9C4D-99F0-7F5A9660E5CF}"/>
  <sortState ref="B2:Q145">
    <sortCondition ref="F2:F145"/>
    <sortCondition ref="G2:G145"/>
    <sortCondition ref="J2:J145"/>
    <sortCondition ref="H2:H145"/>
    <sortCondition ref="I2:I145"/>
  </sortState>
  <tableColumns count="16">
    <tableColumn id="10" xr3:uid="{72116CB0-79E9-F04C-A3BA-19EE19D2A026}" name="in_noted" dataDxfId="26">
      <calculatedColumnFormula>IF( Table2[[#This Row],[target_lang]] = "noted", 1, 0)</calculatedColumnFormula>
    </tableColumn>
    <tableColumn id="9" xr3:uid="{EFC8146B-07B1-B74D-B283-0026BD0C89C2}" name="in_notedoc" dataDxfId="25">
      <calculatedColumnFormula xml:space="preserve"> IF( Table2[[#This Row],[target_lang]] = "notedoc", 1, 0)</calculatedColumnFormula>
    </tableColumn>
    <tableColumn id="1" xr3:uid="{ED647CC1-8623-4F43-9292-E8F4579E0D8C}" name="origin" dataDxfId="24"/>
    <tableColumn id="11" xr3:uid="{7C12EF02-E225-1849-88A1-BA1A91521A9B}" name="target_lang" dataDxfId="23">
      <calculatedColumnFormula>IF( Table2[[#This Row],[label]] = "", "", IF( Table2[[#This Row],[origin]] = "notedoc",  Table2[[#This Row],[origin]],  "noted"))</calculatedColumnFormula>
    </tableColumn>
    <tableColumn id="2" xr3:uid="{88AD9F98-4A1A-1A45-89A2-B80192F08A09}" name="category" dataDxfId="22"/>
    <tableColumn id="17" xr3:uid="{DA42F228-8761-2746-9109-9BB7C4447EC2}" name="grammatic_group" dataDxfId="21">
      <calculatedColumnFormula>IF( Table2[[#This Row],[regexTermInput]] ="", "", SUBSTITUTE(  SUBSTITUTE( SUBSTITUTE( atom_grammatic_group_template,"{{category}}", Table2[[#This Row],[category]] ), "{{emotion}}",  Table2[[#This Row],[emotion]] ), "{{lang}}",   Table2[[#This Row],[target_lang]] ))</calculatedColumnFormula>
    </tableColumn>
    <tableColumn id="6" xr3:uid="{184D3F9D-3202-1541-8375-BC3937A52E6D}" name="label" dataDxfId="20"/>
    <tableColumn id="3" xr3:uid="{6FDA8A48-D530-1E4D-B0D9-FA5BD91F272D}" name="regexTermInput" dataDxfId="19"/>
    <tableColumn id="4" xr3:uid="{30A98A68-B227-EE45-A218-5FC1E4AC49C2}" name="emotion" dataDxfId="18"/>
    <tableColumn id="5" xr3:uid="{A3D32F68-893A-1E4E-9A1D-953D380E9355}" name="remarks" dataDxfId="17"/>
    <tableColumn id="8" xr3:uid="{57683B6E-2A1E-A749-B885-E075BAE48D72}" name="grammatic_name" dataDxfId="16">
      <calculatedColumnFormula>IF( Table2[[#This Row],[regexTermInput]] ="", "", SUBSTITUTE(  SUBSTITUTE( SUBSTITUTE( atom_grammatic_name_template,"{{category}}", Table2[[#This Row],[category]] ), "{{emotion}}",  Table2[[#This Row],[emotion]] ), "{{lang}}",   Table2[[#This Row],[target_lang]] ))</calculatedColumnFormula>
    </tableColumn>
    <tableColumn id="14" xr3:uid="{34807953-997B-5641-8BDB-78228F323BBA}" name="regexTerm" dataDxfId="15">
      <calculatedColumnFormula>"" &amp;  IF(Table2[[#This Row],[hasUnsafeRegex]] = 0, Table2[[#This Row],[regexTermInput]], "(?:" &amp; Table2[[#This Row],[regexTermInput]] &amp; ")")</calculatedColumnFormula>
    </tableColumn>
    <tableColumn id="13" xr3:uid="{5365D384-62A5-6245-9BF8-5222EDDEC473}" name="hasUnsafeRegex" dataDxfId="14">
      <calculatedColumnFormula>IF( IFERROR( FIND("$", Table2[[#This Row],[unsafeRegexGuess]]), 0) &lt;=0, 0, 1)</calculatedColumnFormula>
    </tableColumn>
    <tableColumn id="16" xr3:uid="{E015C8DD-2E14-F44A-AD82-422A10543AD4}" name="hasAnyRegex" dataDxfId="13">
      <calculatedColumnFormula>IF( IFERROR( FIND("$", Table2[[#This Row],[anyRegexGuess]]), 0) &lt;=0, 0, 1)</calculatedColumnFormula>
    </tableColumn>
    <tableColumn id="15" xr3:uid="{DEC86C84-EC73-7C4E-AB2E-F80DC5A9678E}" name="anyRegexGuess" dataDxfId="12">
      <calculatedColumnFormula>SUBSTITUTE( SUBSTITUTE( SUBSTITUTE(SUBSTITUTE(Table2[[#This Row],[unsafeRegexGuess]], ")", "$"), "*", "$"), "+", "$"), "?", "$")</calculatedColumnFormula>
    </tableColumn>
    <tableColumn id="12" xr3:uid="{B7B48411-9D64-8F45-90BE-F7F85B4F9A20}" name="unsafeRegexGuess" dataDxfId="11">
      <calculatedColumnFormula xml:space="preserve"> SUBSTITUTE( SUBSTITUTE( SUBSTITUTE(Table2[[#This Row],[regexTermInput]], "(", "$"), "|", "$"), "^", "$")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E70D88-5B9E-AA41-B150-DDB6D4261BEC}" name="Table1" displayName="Table1" ref="B3:J19" totalsRowShown="0" headerRowDxfId="10" dataDxfId="9">
  <autoFilter ref="B3:J19" xr:uid="{52D710F5-EF82-4D44-AD06-EB7C0A31BAF1}"/>
  <tableColumns count="9">
    <tableColumn id="1" xr3:uid="{A4FA0173-A300-8045-955F-905A11D3CC63}" name="lang" dataDxfId="8"/>
    <tableColumn id="2" xr3:uid="{5EA21845-A3FD-2342-BA68-E6580395CCF2}" name="category" dataDxfId="7"/>
    <tableColumn id="9" xr3:uid="{DECC1F9D-23AB-154F-A453-CE6074EA12EE}" name="rule_name" dataDxfId="6">
      <calculatedColumnFormula>SUBSTITUTE( IF( IFERROR( FIND("doc", Table1[[#This Row],[category]]), 0), "note", Table1[[#This Row],[lang]]  &amp; "." ) &amp; Table1[[#This Row],[category]], ".", "_")</calculatedColumnFormula>
    </tableColumn>
    <tableColumn id="3" xr3:uid="{C7B21ABF-7165-B74A-873C-5F8ACFB557CC}" name="regexTerm" dataDxfId="5">
      <calculatedColumnFormula array="1">_xlfn.TEXTJOIN( "|", TRUE, IF( Table2[category] = Table1[[#This Row],[category]], Table2[regexTerm], "") )</calculatedColumnFormula>
    </tableColumn>
    <tableColumn id="4" xr3:uid="{F1223574-B46E-3448-A520-8B3BC72DF5E8}" name="regex_perl" dataDxfId="4">
      <calculatedColumnFormula>re_atom_pattern_begin &amp; Table1[[#This Row],[regexTerm]] &amp; "(" &amp; Table1[[#This Row],[regexTerm]] &amp; ")" &amp; re_atom_pattern_end</calculatedColumnFormula>
    </tableColumn>
    <tableColumn id="7" xr3:uid="{415E1F71-9FCC-9F4A-A256-A12868EA3778}" name="regex_atom" dataDxfId="3">
      <calculatedColumnFormula>SUBSTITUTE( SUBSTITUTE( Table1[[#This Row],[regex_perl]],  "(?:", "(?&lt;" ), "\", "\\")</calculatedColumnFormula>
    </tableColumn>
    <tableColumn id="8" xr3:uid="{D0D522C8-9438-564A-9204-16FABF37457C}" name="Column1" dataDxfId="2"/>
    <tableColumn id="5" xr3:uid="{AE1EA372-D0F4-744A-8EB4-EC15904DE790}" name="filan" dataDxfId="1"/>
    <tableColumn id="6" xr3:uid="{6157BAEA-736F-CA46-B1BD-D0B768050338}" name="falan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CA22E-82B6-214A-8334-0BD3E3D29708}">
  <sheetPr codeName="Sheet1"/>
  <dimension ref="B1:Z145"/>
  <sheetViews>
    <sheetView tabSelected="1" topLeftCell="B1" workbookViewId="0">
      <selection activeCell="I26" sqref="I26"/>
    </sheetView>
  </sheetViews>
  <sheetFormatPr baseColWidth="10" defaultRowHeight="17" outlineLevelRow="2" x14ac:dyDescent="0.25"/>
  <cols>
    <col min="2" max="2" width="4" customWidth="1"/>
    <col min="3" max="3" width="3.42578125" customWidth="1"/>
    <col min="7" max="7" width="22.28515625" style="25" customWidth="1"/>
    <col min="8" max="8" width="17.5703125" customWidth="1"/>
    <col min="9" max="9" width="27.7109375" style="15" customWidth="1"/>
    <col min="10" max="10" width="7.5703125" style="15" customWidth="1"/>
    <col min="11" max="11" width="8.85546875" style="25" customWidth="1"/>
    <col min="13" max="13" width="22.85546875" style="40" customWidth="1"/>
    <col min="14" max="14" width="7.42578125" customWidth="1"/>
    <col min="15" max="15" width="7.5703125" style="26" customWidth="1"/>
    <col min="16" max="16" width="17.140625" style="27" customWidth="1"/>
    <col min="17" max="17" width="21.85546875" style="29" customWidth="1"/>
    <col min="18" max="18" width="18.85546875" style="26" customWidth="1"/>
    <col min="19" max="19" width="26.5703125" style="31" customWidth="1"/>
    <col min="20" max="20" width="9.140625" style="18" customWidth="1"/>
    <col min="21" max="22" width="9.140625" style="20" customWidth="1"/>
    <col min="23" max="23" width="9.140625" style="22" customWidth="1"/>
    <col min="24" max="24" width="9.140625" style="23" customWidth="1"/>
    <col min="25" max="25" width="9.140625" customWidth="1"/>
    <col min="26" max="26" width="9.140625" style="18" customWidth="1"/>
    <col min="27" max="30" width="9.140625" customWidth="1"/>
  </cols>
  <sheetData>
    <row r="1" spans="2:26" x14ac:dyDescent="0.25">
      <c r="B1" s="15" t="s">
        <v>194</v>
      </c>
      <c r="C1" s="15" t="s">
        <v>193</v>
      </c>
      <c r="D1" s="18" t="s">
        <v>47</v>
      </c>
      <c r="E1" s="18" t="s">
        <v>261</v>
      </c>
      <c r="F1" s="26" t="s">
        <v>42</v>
      </c>
      <c r="G1" s="29" t="s">
        <v>264</v>
      </c>
      <c r="H1" s="27" t="s">
        <v>108</v>
      </c>
      <c r="I1" s="28" t="s">
        <v>199</v>
      </c>
      <c r="J1" s="26" t="s">
        <v>99</v>
      </c>
      <c r="K1" s="29" t="s">
        <v>69</v>
      </c>
      <c r="L1" s="39" t="s">
        <v>260</v>
      </c>
      <c r="M1" s="17" t="s">
        <v>198</v>
      </c>
      <c r="N1" s="19" t="s">
        <v>197</v>
      </c>
      <c r="O1" s="19" t="s">
        <v>202</v>
      </c>
      <c r="P1" s="21" t="s">
        <v>200</v>
      </c>
      <c r="Q1" s="21" t="s">
        <v>201</v>
      </c>
      <c r="R1"/>
      <c r="S1"/>
      <c r="T1"/>
      <c r="U1"/>
      <c r="V1"/>
      <c r="W1"/>
      <c r="X1"/>
      <c r="Z1"/>
    </row>
    <row r="2" spans="2:26" outlineLevel="1" x14ac:dyDescent="0.25">
      <c r="B2" s="15">
        <f>IF( Table2[[#This Row],[target_lang]] = "noted", 1, 0)</f>
        <v>0</v>
      </c>
      <c r="C2" s="15">
        <f xml:space="preserve"> IF( Table2[[#This Row],[target_lang]] = "notedoc", 1, 0)</f>
        <v>0</v>
      </c>
      <c r="D2" s="18" t="s">
        <v>192</v>
      </c>
      <c r="E2" s="41" t="str">
        <f>IF( Table2[[#This Row],[label]] = "", "", IF( Table2[[#This Row],[origin]] = "notedoc",  Table2[[#This Row],[origin]],  "noted"))</f>
        <v/>
      </c>
      <c r="F2" s="26" t="s">
        <v>116</v>
      </c>
      <c r="G2" s="39" t="str">
        <f>IF( Table2[[#This Row],[regexTermInput]] ="", "", SUBSTITUTE(  SUBSTITUTE( SUBSTITUTE( atom_grammatic_group_template,"{{category}}", Table2[[#This Row],[category]] ), "{{emotion}}",  Table2[[#This Row],[emotion]] ), "{{lang}}",   Table2[[#This Row],[target_lang]] ))</f>
        <v/>
      </c>
      <c r="H2" s="27" t="str">
        <f>""</f>
        <v/>
      </c>
      <c r="I2" s="28" t="str">
        <f>""</f>
        <v/>
      </c>
      <c r="J2" s="26" t="str">
        <f>""</f>
        <v/>
      </c>
      <c r="K2" s="29" t="str">
        <f>""</f>
        <v/>
      </c>
      <c r="L2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M2" s="17" t="str">
        <f>"" &amp;  IF(Table2[[#This Row],[hasUnsafeRegex]] = 0, Table2[[#This Row],[regexTermInput]], "(?:" &amp; Table2[[#This Row],[regexTermInput]] &amp; ")")</f>
        <v/>
      </c>
      <c r="N2" s="19">
        <f>IF( IFERROR( FIND("$", Table2[[#This Row],[unsafeRegexGuess]]), 0) &lt;=0, 0, 1)</f>
        <v>0</v>
      </c>
      <c r="O2" s="19">
        <f>IF( IFERROR( FIND("$", Table2[[#This Row],[anyRegexGuess]]), 0) &lt;=0, 0, 1)</f>
        <v>0</v>
      </c>
      <c r="P2" s="21" t="str">
        <f>SUBSTITUTE( SUBSTITUTE( SUBSTITUTE(SUBSTITUTE(Table2[[#This Row],[unsafeRegexGuess]], ")", "$"), "*", "$"), "+", "$"), "?", "$")</f>
        <v/>
      </c>
      <c r="Q2" s="21" t="str">
        <f xml:space="preserve"> SUBSTITUTE( SUBSTITUTE( SUBSTITUTE(Table2[[#This Row],[regexTermInput]], "(", "$"), "|", "$"), "^", "$")</f>
        <v/>
      </c>
      <c r="R2"/>
      <c r="S2"/>
      <c r="T2"/>
      <c r="U2"/>
      <c r="V2"/>
      <c r="W2"/>
      <c r="X2"/>
      <c r="Z2"/>
    </row>
    <row r="3" spans="2:26" outlineLevel="1" x14ac:dyDescent="0.25">
      <c r="B3" s="15">
        <f>IF( Table2[[#This Row],[target_lang]] = "noted", 1, 0)</f>
        <v>0</v>
      </c>
      <c r="C3" s="15">
        <f xml:space="preserve"> IF( Table2[[#This Row],[target_lang]] = "notedoc", 1, 0)</f>
        <v>1</v>
      </c>
      <c r="D3" s="18" t="s">
        <v>192</v>
      </c>
      <c r="E3" s="18" t="str">
        <f>IF( Table2[[#This Row],[label]] = "", "", IF( Table2[[#This Row],[origin]] = "notedoc",  Table2[[#This Row],[origin]],  "noted"))</f>
        <v>notedoc</v>
      </c>
      <c r="F3" s="26" t="s">
        <v>116</v>
      </c>
      <c r="G3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g_tag_doc_dep_feeling_ok</v>
      </c>
      <c r="H3" s="27" t="s">
        <v>157</v>
      </c>
      <c r="I3" s="28" t="s">
        <v>119</v>
      </c>
      <c r="J3" s="26" t="s">
        <v>256</v>
      </c>
      <c r="K3" s="29"/>
      <c r="L3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storage.type.class.${1:/downcase}._tag.doc.dep._feeling.ok.text.notedoc</v>
      </c>
      <c r="M3" s="17" t="str">
        <f>"" &amp;  IF(Table2[[#This Row],[hasUnsafeRegex]] = 0, Table2[[#This Row],[regexTermInput]], "(?:" &amp; Table2[[#This Row],[regexTermInput]] &amp; ")")</f>
        <v>CONSUMES?</v>
      </c>
      <c r="N3" s="19">
        <f>IF( IFERROR( FIND("$", Table2[[#This Row],[unsafeRegexGuess]]), 0) &lt;=0, 0, 1)</f>
        <v>0</v>
      </c>
      <c r="O3" s="19">
        <f>IF( IFERROR( FIND("$", Table2[[#This Row],[anyRegexGuess]]), 0) &lt;=0, 0, 1)</f>
        <v>1</v>
      </c>
      <c r="P3" s="21" t="str">
        <f>SUBSTITUTE( SUBSTITUTE( SUBSTITUTE(SUBSTITUTE(Table2[[#This Row],[unsafeRegexGuess]], ")", "$"), "*", "$"), "+", "$"), "?", "$")</f>
        <v>CONSUMES$</v>
      </c>
      <c r="Q3" s="21" t="str">
        <f xml:space="preserve"> SUBSTITUTE( SUBSTITUTE( SUBSTITUTE(Table2[[#This Row],[regexTermInput]], "(", "$"), "|", "$"), "^", "$")</f>
        <v>CONSUMES?</v>
      </c>
      <c r="R3"/>
      <c r="S3"/>
      <c r="T3"/>
      <c r="U3"/>
      <c r="V3"/>
      <c r="W3"/>
      <c r="X3"/>
      <c r="Z3"/>
    </row>
    <row r="4" spans="2:26" outlineLevel="1" x14ac:dyDescent="0.25">
      <c r="B4" s="15">
        <f>IF( Table2[[#This Row],[target_lang]] = "noted", 1, 0)</f>
        <v>0</v>
      </c>
      <c r="C4" s="15">
        <f xml:space="preserve"> IF( Table2[[#This Row],[target_lang]] = "notedoc", 1, 0)</f>
        <v>1</v>
      </c>
      <c r="D4" s="18" t="s">
        <v>192</v>
      </c>
      <c r="E4" s="18" t="str">
        <f>IF( Table2[[#This Row],[label]] = "", "", IF( Table2[[#This Row],[origin]] = "notedoc",  Table2[[#This Row],[origin]],  "noted"))</f>
        <v>notedoc</v>
      </c>
      <c r="F4" s="26" t="s">
        <v>116</v>
      </c>
      <c r="G4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g_tag_doc_dep_feeling_ok</v>
      </c>
      <c r="H4" s="27" t="s">
        <v>158</v>
      </c>
      <c r="I4" s="28" t="s">
        <v>121</v>
      </c>
      <c r="J4" s="26" t="s">
        <v>256</v>
      </c>
      <c r="K4" s="29"/>
      <c r="L4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storage.type.class.${1:/downcase}._tag.doc.dep._feeling.ok.text.notedoc</v>
      </c>
      <c r="M4" s="17" t="str">
        <f>"" &amp;  IF(Table2[[#This Row],[hasUnsafeRegex]] = 0, Table2[[#This Row],[regexTermInput]], "(?:" &amp; Table2[[#This Row],[regexTermInput]] &amp; ")")</f>
        <v>DELEGATES?</v>
      </c>
      <c r="N4" s="19">
        <f>IF( IFERROR( FIND("$", Table2[[#This Row],[unsafeRegexGuess]]), 0) &lt;=0, 0, 1)</f>
        <v>0</v>
      </c>
      <c r="O4" s="19">
        <f>IF( IFERROR( FIND("$", Table2[[#This Row],[anyRegexGuess]]), 0) &lt;=0, 0, 1)</f>
        <v>1</v>
      </c>
      <c r="P4" s="21" t="str">
        <f>SUBSTITUTE( SUBSTITUTE( SUBSTITUTE(SUBSTITUTE(Table2[[#This Row],[unsafeRegexGuess]], ")", "$"), "*", "$"), "+", "$"), "?", "$")</f>
        <v>DELEGATES$</v>
      </c>
      <c r="Q4" s="21" t="str">
        <f xml:space="preserve"> SUBSTITUTE( SUBSTITUTE( SUBSTITUTE(Table2[[#This Row],[regexTermInput]], "(", "$"), "|", "$"), "^", "$")</f>
        <v>DELEGATES?</v>
      </c>
      <c r="R4"/>
      <c r="S4"/>
      <c r="T4"/>
      <c r="U4"/>
      <c r="V4"/>
      <c r="W4"/>
      <c r="X4"/>
      <c r="Z4"/>
    </row>
    <row r="5" spans="2:26" outlineLevel="1" x14ac:dyDescent="0.25">
      <c r="B5" s="15">
        <f>IF( Table2[[#This Row],[target_lang]] = "noted", 1, 0)</f>
        <v>0</v>
      </c>
      <c r="C5" s="15">
        <f xml:space="preserve"> IF( Table2[[#This Row],[target_lang]] = "notedoc", 1, 0)</f>
        <v>1</v>
      </c>
      <c r="D5" s="18" t="s">
        <v>192</v>
      </c>
      <c r="E5" s="18" t="str">
        <f>IF( Table2[[#This Row],[label]] = "", "", IF( Table2[[#This Row],[origin]] = "notedoc",  Table2[[#This Row],[origin]],  "noted"))</f>
        <v>notedoc</v>
      </c>
      <c r="F5" s="26" t="s">
        <v>116</v>
      </c>
      <c r="G5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g_tag_doc_dep_feeling_ok</v>
      </c>
      <c r="H5" s="27" t="s">
        <v>159</v>
      </c>
      <c r="I5" s="28" t="s">
        <v>132</v>
      </c>
      <c r="J5" s="26" t="s">
        <v>256</v>
      </c>
      <c r="K5" s="29"/>
      <c r="L5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storage.type.class.${1:/downcase}._tag.doc.dep._feeling.ok.text.notedoc</v>
      </c>
      <c r="M5" s="17" t="str">
        <f>"" &amp;  IF(Table2[[#This Row],[hasUnsafeRegex]] = 0, Table2[[#This Row],[regexTermInput]], "(?:" &amp; Table2[[#This Row],[regexTermInput]] &amp; ")")</f>
        <v>(?:DEPENDS?(?: ON)?)</v>
      </c>
      <c r="N5" s="19">
        <f>IF( IFERROR( FIND("$", Table2[[#This Row],[unsafeRegexGuess]]), 0) &lt;=0, 0, 1)</f>
        <v>1</v>
      </c>
      <c r="O5" s="19">
        <f>IF( IFERROR( FIND("$", Table2[[#This Row],[anyRegexGuess]]), 0) &lt;=0, 0, 1)</f>
        <v>1</v>
      </c>
      <c r="P5" s="21" t="str">
        <f>SUBSTITUTE( SUBSTITUTE( SUBSTITUTE(SUBSTITUTE(Table2[[#This Row],[unsafeRegexGuess]], ")", "$"), "*", "$"), "+", "$"), "?", "$")</f>
        <v>DEPENDS$$$: ON$$</v>
      </c>
      <c r="Q5" s="21" t="str">
        <f xml:space="preserve"> SUBSTITUTE( SUBSTITUTE( SUBSTITUTE(Table2[[#This Row],[regexTermInput]], "(", "$"), "|", "$"), "^", "$")</f>
        <v>DEPENDS?$?: ON)?</v>
      </c>
      <c r="R5"/>
      <c r="S5"/>
      <c r="T5"/>
      <c r="U5"/>
      <c r="V5"/>
      <c r="W5"/>
      <c r="X5"/>
      <c r="Z5"/>
    </row>
    <row r="6" spans="2:26" outlineLevel="1" x14ac:dyDescent="0.25">
      <c r="B6" s="15">
        <f>IF( Table2[[#This Row],[target_lang]] = "noted", 1, 0)</f>
        <v>0</v>
      </c>
      <c r="C6" s="15">
        <f xml:space="preserve"> IF( Table2[[#This Row],[target_lang]] = "notedoc", 1, 0)</f>
        <v>1</v>
      </c>
      <c r="D6" s="18" t="s">
        <v>192</v>
      </c>
      <c r="E6" s="18" t="str">
        <f>IF( Table2[[#This Row],[label]] = "", "", IF( Table2[[#This Row],[origin]] = "notedoc",  Table2[[#This Row],[origin]],  "noted"))</f>
        <v>notedoc</v>
      </c>
      <c r="F6" s="26" t="s">
        <v>116</v>
      </c>
      <c r="G6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g_tag_doc_dep_feeling_ok</v>
      </c>
      <c r="H6" s="27" t="s">
        <v>160</v>
      </c>
      <c r="I6" s="28" t="s">
        <v>118</v>
      </c>
      <c r="J6" s="26" t="s">
        <v>256</v>
      </c>
      <c r="K6" s="29"/>
      <c r="L6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storage.type.class.${1:/downcase}._tag.doc.dep._feeling.ok.text.notedoc</v>
      </c>
      <c r="M6" s="17" t="str">
        <f>"" &amp;  IF(Table2[[#This Row],[hasUnsafeRegex]] = 0, Table2[[#This Row],[regexTermInput]], "(?:" &amp; Table2[[#This Row],[regexTermInput]] &amp; ")")</f>
        <v>EXTENDS?</v>
      </c>
      <c r="N6" s="19">
        <f>IF( IFERROR( FIND("$", Table2[[#This Row],[unsafeRegexGuess]]), 0) &lt;=0, 0, 1)</f>
        <v>0</v>
      </c>
      <c r="O6" s="19">
        <f>IF( IFERROR( FIND("$", Table2[[#This Row],[anyRegexGuess]]), 0) &lt;=0, 0, 1)</f>
        <v>1</v>
      </c>
      <c r="P6" s="21" t="str">
        <f>SUBSTITUTE( SUBSTITUTE( SUBSTITUTE(SUBSTITUTE(Table2[[#This Row],[unsafeRegexGuess]], ")", "$"), "*", "$"), "+", "$"), "?", "$")</f>
        <v>EXTENDS$</v>
      </c>
      <c r="Q6" s="21" t="str">
        <f xml:space="preserve"> SUBSTITUTE( SUBSTITUTE( SUBSTITUTE(Table2[[#This Row],[regexTermInput]], "(", "$"), "|", "$"), "^", "$")</f>
        <v>EXTENDS?</v>
      </c>
      <c r="R6"/>
      <c r="S6"/>
      <c r="T6"/>
      <c r="U6"/>
      <c r="V6"/>
      <c r="W6"/>
      <c r="X6"/>
      <c r="Z6"/>
    </row>
    <row r="7" spans="2:26" outlineLevel="1" x14ac:dyDescent="0.25">
      <c r="B7" s="15">
        <f>IF( Table2[[#This Row],[target_lang]] = "noted", 1, 0)</f>
        <v>0</v>
      </c>
      <c r="C7" s="15">
        <f xml:space="preserve"> IF( Table2[[#This Row],[target_lang]] = "notedoc", 1, 0)</f>
        <v>1</v>
      </c>
      <c r="D7" s="18" t="s">
        <v>192</v>
      </c>
      <c r="E7" s="18" t="str">
        <f>IF( Table2[[#This Row],[label]] = "", "", IF( Table2[[#This Row],[origin]] = "notedoc",  Table2[[#This Row],[origin]],  "noted"))</f>
        <v>notedoc</v>
      </c>
      <c r="F7" s="26" t="s">
        <v>116</v>
      </c>
      <c r="G7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g_tag_doc_dep_feeling_ok</v>
      </c>
      <c r="H7" s="27" t="s">
        <v>161</v>
      </c>
      <c r="I7" s="28" t="s">
        <v>117</v>
      </c>
      <c r="J7" s="26" t="s">
        <v>256</v>
      </c>
      <c r="K7" s="29"/>
      <c r="L7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storage.type.class.${1:/downcase}._tag.doc.dep._feeling.ok.text.notedoc</v>
      </c>
      <c r="M7" s="17" t="str">
        <f>"" &amp;  IF(Table2[[#This Row],[hasUnsafeRegex]] = 0, Table2[[#This Row],[regexTermInput]], "(?:" &amp; Table2[[#This Row],[regexTermInput]] &amp; ")")</f>
        <v>(?:INHERITS(?: FROM)?)</v>
      </c>
      <c r="N7" s="19">
        <f>IF( IFERROR( FIND("$", Table2[[#This Row],[unsafeRegexGuess]]), 0) &lt;=0, 0, 1)</f>
        <v>1</v>
      </c>
      <c r="O7" s="19">
        <f>IF( IFERROR( FIND("$", Table2[[#This Row],[anyRegexGuess]]), 0) &lt;=0, 0, 1)</f>
        <v>1</v>
      </c>
      <c r="P7" s="21" t="str">
        <f>SUBSTITUTE( SUBSTITUTE( SUBSTITUTE(SUBSTITUTE(Table2[[#This Row],[unsafeRegexGuess]], ")", "$"), "*", "$"), "+", "$"), "?", "$")</f>
        <v>INHERITS$$: FROM$$</v>
      </c>
      <c r="Q7" s="21" t="str">
        <f xml:space="preserve"> SUBSTITUTE( SUBSTITUTE( SUBSTITUTE(Table2[[#This Row],[regexTermInput]], "(", "$"), "|", "$"), "^", "$")</f>
        <v>INHERITS$?: FROM)?</v>
      </c>
      <c r="R7"/>
      <c r="S7"/>
      <c r="T7"/>
      <c r="U7"/>
      <c r="V7"/>
      <c r="W7"/>
      <c r="X7"/>
      <c r="Z7"/>
    </row>
    <row r="8" spans="2:26" outlineLevel="1" x14ac:dyDescent="0.25">
      <c r="B8" s="15">
        <f>IF( Table2[[#This Row],[target_lang]] = "noted", 1, 0)</f>
        <v>0</v>
      </c>
      <c r="C8" s="15">
        <f xml:space="preserve"> IF( Table2[[#This Row],[target_lang]] = "notedoc", 1, 0)</f>
        <v>1</v>
      </c>
      <c r="D8" s="18" t="s">
        <v>192</v>
      </c>
      <c r="E8" s="18" t="str">
        <f>IF( Table2[[#This Row],[label]] = "", "", IF( Table2[[#This Row],[origin]] = "notedoc",  Table2[[#This Row],[origin]],  "noted"))</f>
        <v>notedoc</v>
      </c>
      <c r="F8" s="26" t="s">
        <v>116</v>
      </c>
      <c r="G8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g_tag_doc_dep_feeling_ok</v>
      </c>
      <c r="H8" s="27" t="s">
        <v>162</v>
      </c>
      <c r="I8" s="28" t="s">
        <v>120</v>
      </c>
      <c r="J8" s="26" t="s">
        <v>256</v>
      </c>
      <c r="K8" s="29"/>
      <c r="L8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storage.type.class.${1:/downcase}._tag.doc.dep._feeling.ok.text.notedoc</v>
      </c>
      <c r="M8" s="17" t="str">
        <f>"" &amp;  IF(Table2[[#This Row],[hasUnsafeRegex]] = 0, Table2[[#This Row],[regexTermInput]], "(?:" &amp; Table2[[#This Row],[regexTermInput]] &amp; ")")</f>
        <v>REQUIRES?</v>
      </c>
      <c r="N8" s="19">
        <f>IF( IFERROR( FIND("$", Table2[[#This Row],[unsafeRegexGuess]]), 0) &lt;=0, 0, 1)</f>
        <v>0</v>
      </c>
      <c r="O8" s="19">
        <f>IF( IFERROR( FIND("$", Table2[[#This Row],[anyRegexGuess]]), 0) &lt;=0, 0, 1)</f>
        <v>1</v>
      </c>
      <c r="P8" s="21" t="str">
        <f>SUBSTITUTE( SUBSTITUTE( SUBSTITUTE(SUBSTITUTE(Table2[[#This Row],[unsafeRegexGuess]], ")", "$"), "*", "$"), "+", "$"), "?", "$")</f>
        <v>REQUIRES$</v>
      </c>
      <c r="Q8" s="21" t="str">
        <f xml:space="preserve"> SUBSTITUTE( SUBSTITUTE( SUBSTITUTE(Table2[[#This Row],[regexTermInput]], "(", "$"), "|", "$"), "^", "$")</f>
        <v>REQUIRES?</v>
      </c>
      <c r="R8"/>
      <c r="S8"/>
      <c r="T8"/>
      <c r="U8"/>
      <c r="V8"/>
      <c r="W8"/>
      <c r="X8"/>
      <c r="Z8"/>
    </row>
    <row r="9" spans="2:26" outlineLevel="1" x14ac:dyDescent="0.25">
      <c r="B9" s="15">
        <f>IF( Table2[[#This Row],[target_lang]] = "noted", 1, 0)</f>
        <v>0</v>
      </c>
      <c r="C9" s="15">
        <f xml:space="preserve"> IF( Table2[[#This Row],[target_lang]] = "notedoc", 1, 0)</f>
        <v>1</v>
      </c>
      <c r="D9" s="18" t="s">
        <v>192</v>
      </c>
      <c r="E9" s="18" t="str">
        <f>IF( Table2[[#This Row],[label]] = "", "", IF( Table2[[#This Row],[origin]] = "notedoc",  Table2[[#This Row],[origin]],  "noted"))</f>
        <v>notedoc</v>
      </c>
      <c r="F9" s="26" t="s">
        <v>139</v>
      </c>
      <c r="G9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g_tag_doc_exp_feeling_ok</v>
      </c>
      <c r="H9" s="27" t="s">
        <v>144</v>
      </c>
      <c r="I9" s="28" t="str">
        <f>Table2[[#This Row],[label]]</f>
        <v>BREAK</v>
      </c>
      <c r="J9" s="26" t="s">
        <v>256</v>
      </c>
      <c r="K9" s="29"/>
      <c r="L9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storage.type.class.${1:/downcase}._tag.doc.exp._feeling.ok.text.notedoc</v>
      </c>
      <c r="M9" s="17" t="str">
        <f>"" &amp;  IF(Table2[[#This Row],[hasUnsafeRegex]] = 0, Table2[[#This Row],[regexTermInput]], "(?:" &amp; Table2[[#This Row],[regexTermInput]] &amp; ")")</f>
        <v>BREAK</v>
      </c>
      <c r="N9" s="19">
        <f>IF( IFERROR( FIND("$", Table2[[#This Row],[unsafeRegexGuess]]), 0) &lt;=0, 0, 1)</f>
        <v>0</v>
      </c>
      <c r="O9" s="19">
        <f>IF( IFERROR( FIND("$", Table2[[#This Row],[anyRegexGuess]]), 0) &lt;=0, 0, 1)</f>
        <v>0</v>
      </c>
      <c r="P9" s="21" t="str">
        <f>SUBSTITUTE( SUBSTITUTE( SUBSTITUTE(SUBSTITUTE(Table2[[#This Row],[unsafeRegexGuess]], ")", "$"), "*", "$"), "+", "$"), "?", "$")</f>
        <v>BREAK</v>
      </c>
      <c r="Q9" s="21" t="str">
        <f xml:space="preserve"> SUBSTITUTE( SUBSTITUTE( SUBSTITUTE(Table2[[#This Row],[regexTermInput]], "(", "$"), "|", "$"), "^", "$")</f>
        <v>BREAK</v>
      </c>
      <c r="R9"/>
      <c r="S9"/>
      <c r="T9"/>
      <c r="U9"/>
      <c r="V9"/>
      <c r="W9"/>
      <c r="X9"/>
      <c r="Z9"/>
    </row>
    <row r="10" spans="2:26" outlineLevel="1" x14ac:dyDescent="0.25">
      <c r="B10" s="15">
        <f>IF( Table2[[#This Row],[target_lang]] = "noted", 1, 0)</f>
        <v>0</v>
      </c>
      <c r="C10" s="15">
        <f xml:space="preserve"> IF( Table2[[#This Row],[target_lang]] = "notedoc", 1, 0)</f>
        <v>1</v>
      </c>
      <c r="D10" s="18" t="s">
        <v>192</v>
      </c>
      <c r="E10" s="18" t="str">
        <f>IF( Table2[[#This Row],[label]] = "", "", IF( Table2[[#This Row],[origin]] = "notedoc",  Table2[[#This Row],[origin]],  "noted"))</f>
        <v>notedoc</v>
      </c>
      <c r="F10" s="26" t="s">
        <v>139</v>
      </c>
      <c r="G10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g_tag_doc_exp_feeling_ok</v>
      </c>
      <c r="H10" s="27" t="s">
        <v>146</v>
      </c>
      <c r="I10" s="28" t="str">
        <f>Table2[[#This Row],[label]]</f>
        <v>CONTINUE</v>
      </c>
      <c r="J10" s="26" t="s">
        <v>256</v>
      </c>
      <c r="K10" s="29"/>
      <c r="L10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storage.type.class.${1:/downcase}._tag.doc.exp._feeling.ok.text.notedoc</v>
      </c>
      <c r="M10" s="17" t="str">
        <f>"" &amp;  IF(Table2[[#This Row],[hasUnsafeRegex]] = 0, Table2[[#This Row],[regexTermInput]], "(?:" &amp; Table2[[#This Row],[regexTermInput]] &amp; ")")</f>
        <v>CONTINUE</v>
      </c>
      <c r="N10" s="19">
        <f>IF( IFERROR( FIND("$", Table2[[#This Row],[unsafeRegexGuess]]), 0) &lt;=0, 0, 1)</f>
        <v>0</v>
      </c>
      <c r="O10" s="19">
        <f>IF( IFERROR( FIND("$", Table2[[#This Row],[anyRegexGuess]]), 0) &lt;=0, 0, 1)</f>
        <v>0</v>
      </c>
      <c r="P10" s="21" t="str">
        <f>SUBSTITUTE( SUBSTITUTE( SUBSTITUTE(SUBSTITUTE(Table2[[#This Row],[unsafeRegexGuess]], ")", "$"), "*", "$"), "+", "$"), "?", "$")</f>
        <v>CONTINUE</v>
      </c>
      <c r="Q10" s="21" t="str">
        <f xml:space="preserve"> SUBSTITUTE( SUBSTITUTE( SUBSTITUTE(Table2[[#This Row],[regexTermInput]], "(", "$"), "|", "$"), "^", "$")</f>
        <v>CONTINUE</v>
      </c>
      <c r="R10"/>
      <c r="S10"/>
      <c r="T10"/>
      <c r="U10"/>
      <c r="V10"/>
      <c r="W10"/>
      <c r="X10"/>
      <c r="Z10"/>
    </row>
    <row r="11" spans="2:26" ht="16" customHeight="1" outlineLevel="1" x14ac:dyDescent="0.25">
      <c r="B11" s="15">
        <f>IF( Table2[[#This Row],[target_lang]] = "noted", 1, 0)</f>
        <v>0</v>
      </c>
      <c r="C11" s="15">
        <f xml:space="preserve"> IF( Table2[[#This Row],[target_lang]] = "notedoc", 1, 0)</f>
        <v>1</v>
      </c>
      <c r="D11" s="18" t="s">
        <v>192</v>
      </c>
      <c r="E11" s="18" t="str">
        <f>IF( Table2[[#This Row],[label]] = "", "", IF( Table2[[#This Row],[origin]] = "notedoc",  Table2[[#This Row],[origin]],  "noted"))</f>
        <v>notedoc</v>
      </c>
      <c r="F11" s="26" t="s">
        <v>139</v>
      </c>
      <c r="G11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g_tag_doc_exp_feeling_ok</v>
      </c>
      <c r="H11" s="27" t="s">
        <v>143</v>
      </c>
      <c r="I11" s="28" t="str">
        <f>Table2[[#This Row],[label]]</f>
        <v>EXIT</v>
      </c>
      <c r="J11" s="26" t="s">
        <v>256</v>
      </c>
      <c r="K11" s="29"/>
      <c r="L11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storage.type.class.${1:/downcase}._tag.doc.exp._feeling.ok.text.notedoc</v>
      </c>
      <c r="M11" s="17" t="str">
        <f>"" &amp;  IF(Table2[[#This Row],[hasUnsafeRegex]] = 0, Table2[[#This Row],[regexTermInput]], "(?:" &amp; Table2[[#This Row],[regexTermInput]] &amp; ")")</f>
        <v>EXIT</v>
      </c>
      <c r="N11" s="19">
        <f>IF( IFERROR( FIND("$", Table2[[#This Row],[unsafeRegexGuess]]), 0) &lt;=0, 0, 1)</f>
        <v>0</v>
      </c>
      <c r="O11" s="19">
        <f>IF( IFERROR( FIND("$", Table2[[#This Row],[anyRegexGuess]]), 0) &lt;=0, 0, 1)</f>
        <v>0</v>
      </c>
      <c r="P11" s="21" t="str">
        <f>SUBSTITUTE( SUBSTITUTE( SUBSTITUTE(SUBSTITUTE(Table2[[#This Row],[unsafeRegexGuess]], ")", "$"), "*", "$"), "+", "$"), "?", "$")</f>
        <v>EXIT</v>
      </c>
      <c r="Q11" s="21" t="str">
        <f xml:space="preserve"> SUBSTITUTE( SUBSTITUTE( SUBSTITUTE(Table2[[#This Row],[regexTermInput]], "(", "$"), "|", "$"), "^", "$")</f>
        <v>EXIT</v>
      </c>
      <c r="R11"/>
      <c r="S11"/>
      <c r="T11"/>
      <c r="U11"/>
      <c r="V11"/>
      <c r="W11"/>
      <c r="X11"/>
      <c r="Z11"/>
    </row>
    <row r="12" spans="2:26" ht="16" customHeight="1" outlineLevel="1" x14ac:dyDescent="0.25">
      <c r="B12" s="15">
        <f>IF( Table2[[#This Row],[target_lang]] = "noted", 1, 0)</f>
        <v>0</v>
      </c>
      <c r="C12" s="15">
        <f xml:space="preserve"> IF( Table2[[#This Row],[target_lang]] = "notedoc", 1, 0)</f>
        <v>1</v>
      </c>
      <c r="D12" s="18" t="s">
        <v>192</v>
      </c>
      <c r="E12" s="18" t="str">
        <f>IF( Table2[[#This Row],[label]] = "", "", IF( Table2[[#This Row],[origin]] = "notedoc",  Table2[[#This Row],[origin]],  "noted"))</f>
        <v>notedoc</v>
      </c>
      <c r="F12" s="26" t="s">
        <v>139</v>
      </c>
      <c r="G12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g_tag_doc_exp_feeling_ok</v>
      </c>
      <c r="H12" s="27" t="s">
        <v>164</v>
      </c>
      <c r="I12" s="28" t="s">
        <v>140</v>
      </c>
      <c r="J12" s="26" t="s">
        <v>256</v>
      </c>
      <c r="K12" s="29"/>
      <c r="L12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storage.type.class.${1:/downcase}._tag.doc.exp._feeling.ok.text.notedoc</v>
      </c>
      <c r="M12" s="17" t="str">
        <f>"" &amp;  IF(Table2[[#This Row],[hasUnsafeRegex]] = 0, Table2[[#This Row],[regexTermInput]], "(?:" &amp; Table2[[#This Row],[regexTermInput]] &amp; ")")</f>
        <v>(?:FOR(?:EACH))</v>
      </c>
      <c r="N12" s="19">
        <f>IF( IFERROR( FIND("$", Table2[[#This Row],[unsafeRegexGuess]]), 0) &lt;=0, 0, 1)</f>
        <v>1</v>
      </c>
      <c r="O12" s="19">
        <f>IF( IFERROR( FIND("$", Table2[[#This Row],[anyRegexGuess]]), 0) &lt;=0, 0, 1)</f>
        <v>1</v>
      </c>
      <c r="P12" s="21" t="str">
        <f>SUBSTITUTE( SUBSTITUTE( SUBSTITUTE(SUBSTITUTE(Table2[[#This Row],[unsafeRegexGuess]], ")", "$"), "*", "$"), "+", "$"), "?", "$")</f>
        <v>FOR$$:EACH$</v>
      </c>
      <c r="Q12" s="21" t="str">
        <f xml:space="preserve"> SUBSTITUTE( SUBSTITUTE( SUBSTITUTE(Table2[[#This Row],[regexTermInput]], "(", "$"), "|", "$"), "^", "$")</f>
        <v>FOR$?:EACH)</v>
      </c>
      <c r="R12"/>
      <c r="S12"/>
      <c r="T12"/>
      <c r="U12"/>
      <c r="V12"/>
      <c r="W12"/>
      <c r="X12"/>
      <c r="Z12"/>
    </row>
    <row r="13" spans="2:26" ht="16" customHeight="1" outlineLevel="1" x14ac:dyDescent="0.25">
      <c r="B13" s="15">
        <f>IF( Table2[[#This Row],[target_lang]] = "noted", 1, 0)</f>
        <v>0</v>
      </c>
      <c r="C13" s="15">
        <f xml:space="preserve"> IF( Table2[[#This Row],[target_lang]] = "notedoc", 1, 0)</f>
        <v>1</v>
      </c>
      <c r="D13" s="18" t="s">
        <v>192</v>
      </c>
      <c r="E13" s="18" t="str">
        <f>IF( Table2[[#This Row],[label]] = "", "", IF( Table2[[#This Row],[origin]] = "notedoc",  Table2[[#This Row],[origin]],  "noted"))</f>
        <v>notedoc</v>
      </c>
      <c r="F13" s="26" t="s">
        <v>139</v>
      </c>
      <c r="G13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g_tag_doc_exp_feeling_ok</v>
      </c>
      <c r="H13" s="27" t="s">
        <v>136</v>
      </c>
      <c r="I13" s="28" t="str">
        <f>Table2[[#This Row],[label]]</f>
        <v>IF</v>
      </c>
      <c r="J13" s="26" t="s">
        <v>256</v>
      </c>
      <c r="K13" s="29"/>
      <c r="L13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storage.type.class.${1:/downcase}._tag.doc.exp._feeling.ok.text.notedoc</v>
      </c>
      <c r="M13" s="17" t="str">
        <f>"" &amp;  IF(Table2[[#This Row],[hasUnsafeRegex]] = 0, Table2[[#This Row],[regexTermInput]], "(?:" &amp; Table2[[#This Row],[regexTermInput]] &amp; ")")</f>
        <v>IF</v>
      </c>
      <c r="N13" s="19">
        <f>IF( IFERROR( FIND("$", Table2[[#This Row],[unsafeRegexGuess]]), 0) &lt;=0, 0, 1)</f>
        <v>0</v>
      </c>
      <c r="O13" s="19">
        <f>IF( IFERROR( FIND("$", Table2[[#This Row],[anyRegexGuess]]), 0) &lt;=0, 0, 1)</f>
        <v>0</v>
      </c>
      <c r="P13" s="21" t="str">
        <f>SUBSTITUTE( SUBSTITUTE( SUBSTITUTE(SUBSTITUTE(Table2[[#This Row],[unsafeRegexGuess]], ")", "$"), "*", "$"), "+", "$"), "?", "$")</f>
        <v>IF</v>
      </c>
      <c r="Q13" s="21" t="str">
        <f xml:space="preserve"> SUBSTITUTE( SUBSTITUTE( SUBSTITUTE(Table2[[#This Row],[regexTermInput]], "(", "$"), "|", "$"), "^", "$")</f>
        <v>IF</v>
      </c>
      <c r="R13"/>
      <c r="S13"/>
      <c r="T13"/>
      <c r="U13"/>
      <c r="V13"/>
      <c r="W13"/>
      <c r="X13"/>
      <c r="Z13"/>
    </row>
    <row r="14" spans="2:26" ht="16" customHeight="1" outlineLevel="1" x14ac:dyDescent="0.25">
      <c r="B14" s="15">
        <f>IF( Table2[[#This Row],[target_lang]] = "noted", 1, 0)</f>
        <v>0</v>
      </c>
      <c r="C14" s="15">
        <f xml:space="preserve"> IF( Table2[[#This Row],[target_lang]] = "notedoc", 1, 0)</f>
        <v>1</v>
      </c>
      <c r="D14" s="18" t="s">
        <v>192</v>
      </c>
      <c r="E14" s="18" t="str">
        <f>IF( Table2[[#This Row],[label]] = "", "", IF( Table2[[#This Row],[origin]] = "notedoc",  Table2[[#This Row],[origin]],  "noted"))</f>
        <v>notedoc</v>
      </c>
      <c r="F14" s="26" t="s">
        <v>139</v>
      </c>
      <c r="G14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g_tag_doc_exp_feeling_ok</v>
      </c>
      <c r="H14" s="27" t="s">
        <v>147</v>
      </c>
      <c r="I14" s="28" t="str">
        <f>Table2[[#This Row],[label]]</f>
        <v>LAST</v>
      </c>
      <c r="J14" s="26" t="s">
        <v>256</v>
      </c>
      <c r="K14" s="29"/>
      <c r="L14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storage.type.class.${1:/downcase}._tag.doc.exp._feeling.ok.text.notedoc</v>
      </c>
      <c r="M14" s="17" t="str">
        <f>"" &amp;  IF(Table2[[#This Row],[hasUnsafeRegex]] = 0, Table2[[#This Row],[regexTermInput]], "(?:" &amp; Table2[[#This Row],[regexTermInput]] &amp; ")")</f>
        <v>LAST</v>
      </c>
      <c r="N14" s="19">
        <f>IF( IFERROR( FIND("$", Table2[[#This Row],[unsafeRegexGuess]]), 0) &lt;=0, 0, 1)</f>
        <v>0</v>
      </c>
      <c r="O14" s="19">
        <f>IF( IFERROR( FIND("$", Table2[[#This Row],[anyRegexGuess]]), 0) &lt;=0, 0, 1)</f>
        <v>0</v>
      </c>
      <c r="P14" s="21" t="str">
        <f>SUBSTITUTE( SUBSTITUTE( SUBSTITUTE(SUBSTITUTE(Table2[[#This Row],[unsafeRegexGuess]], ")", "$"), "*", "$"), "+", "$"), "?", "$")</f>
        <v>LAST</v>
      </c>
      <c r="Q14" s="21" t="str">
        <f xml:space="preserve"> SUBSTITUTE( SUBSTITUTE( SUBSTITUTE(Table2[[#This Row],[regexTermInput]], "(", "$"), "|", "$"), "^", "$")</f>
        <v>LAST</v>
      </c>
      <c r="R14"/>
      <c r="S14"/>
      <c r="T14"/>
      <c r="U14"/>
      <c r="V14"/>
      <c r="W14"/>
      <c r="X14"/>
      <c r="Z14"/>
    </row>
    <row r="15" spans="2:26" ht="16" customHeight="1" outlineLevel="1" x14ac:dyDescent="0.25">
      <c r="B15" s="15">
        <f>IF( Table2[[#This Row],[target_lang]] = "noted", 1, 0)</f>
        <v>0</v>
      </c>
      <c r="C15" s="15">
        <f xml:space="preserve"> IF( Table2[[#This Row],[target_lang]] = "notedoc", 1, 0)</f>
        <v>1</v>
      </c>
      <c r="D15" s="18" t="s">
        <v>192</v>
      </c>
      <c r="E15" s="18" t="str">
        <f>IF( Table2[[#This Row],[label]] = "", "", IF( Table2[[#This Row],[origin]] = "notedoc",  Table2[[#This Row],[origin]],  "noted"))</f>
        <v>notedoc</v>
      </c>
      <c r="F15" s="26" t="s">
        <v>139</v>
      </c>
      <c r="G15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g_tag_doc_exp_feeling_ok</v>
      </c>
      <c r="H15" s="27" t="s">
        <v>148</v>
      </c>
      <c r="I15" s="28" t="str">
        <f>Table2[[#This Row],[label]]</f>
        <v>LOOP</v>
      </c>
      <c r="J15" s="26" t="s">
        <v>256</v>
      </c>
      <c r="K15" s="29"/>
      <c r="L15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storage.type.class.${1:/downcase}._tag.doc.exp._feeling.ok.text.notedoc</v>
      </c>
      <c r="M15" s="17" t="str">
        <f>"" &amp;  IF(Table2[[#This Row],[hasUnsafeRegex]] = 0, Table2[[#This Row],[regexTermInput]], "(?:" &amp; Table2[[#This Row],[regexTermInput]] &amp; ")")</f>
        <v>LOOP</v>
      </c>
      <c r="N15" s="19">
        <f>IF( IFERROR( FIND("$", Table2[[#This Row],[unsafeRegexGuess]]), 0) &lt;=0, 0, 1)</f>
        <v>0</v>
      </c>
      <c r="O15" s="19">
        <f>IF( IFERROR( FIND("$", Table2[[#This Row],[anyRegexGuess]]), 0) &lt;=0, 0, 1)</f>
        <v>0</v>
      </c>
      <c r="P15" s="21" t="str">
        <f>SUBSTITUTE( SUBSTITUTE( SUBSTITUTE(SUBSTITUTE(Table2[[#This Row],[unsafeRegexGuess]], ")", "$"), "*", "$"), "+", "$"), "?", "$")</f>
        <v>LOOP</v>
      </c>
      <c r="Q15" s="21" t="str">
        <f xml:space="preserve"> SUBSTITUTE( SUBSTITUTE( SUBSTITUTE(Table2[[#This Row],[regexTermInput]], "(", "$"), "|", "$"), "^", "$")</f>
        <v>LOOP</v>
      </c>
      <c r="R15"/>
      <c r="S15"/>
      <c r="T15"/>
      <c r="U15"/>
      <c r="V15"/>
      <c r="W15"/>
      <c r="X15"/>
      <c r="Z15"/>
    </row>
    <row r="16" spans="2:26" ht="16" customHeight="1" outlineLevel="1" x14ac:dyDescent="0.25">
      <c r="B16" s="15">
        <f>IF( Table2[[#This Row],[target_lang]] = "noted", 1, 0)</f>
        <v>0</v>
      </c>
      <c r="C16" s="15">
        <f xml:space="preserve"> IF( Table2[[#This Row],[target_lang]] = "notedoc", 1, 0)</f>
        <v>1</v>
      </c>
      <c r="D16" s="18" t="s">
        <v>192</v>
      </c>
      <c r="E16" s="18" t="str">
        <f>IF( Table2[[#This Row],[label]] = "", "", IF( Table2[[#This Row],[origin]] = "notedoc",  Table2[[#This Row],[origin]],  "noted"))</f>
        <v>notedoc</v>
      </c>
      <c r="F16" s="26" t="s">
        <v>139</v>
      </c>
      <c r="G16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g_tag_doc_exp_feeling_ok</v>
      </c>
      <c r="H16" s="27" t="s">
        <v>145</v>
      </c>
      <c r="I16" s="28" t="str">
        <f>Table2[[#This Row],[label]]</f>
        <v>NEXT</v>
      </c>
      <c r="J16" s="26" t="s">
        <v>256</v>
      </c>
      <c r="K16" s="30"/>
      <c r="L16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storage.type.class.${1:/downcase}._tag.doc.exp._feeling.ok.text.notedoc</v>
      </c>
      <c r="M16" s="16" t="str">
        <f>"" &amp;  IF(Table2[[#This Row],[hasUnsafeRegex]] = 0, Table2[[#This Row],[regexTermInput]], "(?:" &amp; Table2[[#This Row],[regexTermInput]] &amp; ")")</f>
        <v>NEXT</v>
      </c>
      <c r="N16" s="19">
        <f>IF( IFERROR( FIND("$", Table2[[#This Row],[unsafeRegexGuess]]), 0) &lt;=0, 0, 1)</f>
        <v>0</v>
      </c>
      <c r="O16" s="19">
        <f>IF( IFERROR( FIND("$", Table2[[#This Row],[anyRegexGuess]]), 0) &lt;=0, 0, 1)</f>
        <v>0</v>
      </c>
      <c r="P16" s="21" t="str">
        <f>SUBSTITUTE( SUBSTITUTE( SUBSTITUTE(SUBSTITUTE(Table2[[#This Row],[unsafeRegexGuess]], ")", "$"), "*", "$"), "+", "$"), "?", "$")</f>
        <v>NEXT</v>
      </c>
      <c r="Q16" s="21" t="str">
        <f xml:space="preserve"> SUBSTITUTE( SUBSTITUTE( SUBSTITUTE(Table2[[#This Row],[regexTermInput]], "(", "$"), "|", "$"), "^", "$")</f>
        <v>NEXT</v>
      </c>
      <c r="R16"/>
      <c r="S16"/>
      <c r="T16"/>
      <c r="U16"/>
      <c r="V16"/>
      <c r="W16"/>
      <c r="X16"/>
      <c r="Z16"/>
    </row>
    <row r="17" spans="2:26" ht="16" customHeight="1" outlineLevel="1" x14ac:dyDescent="0.25">
      <c r="B17" s="15">
        <f>IF( Table2[[#This Row],[target_lang]] = "noted", 1, 0)</f>
        <v>0</v>
      </c>
      <c r="C17" s="15">
        <f xml:space="preserve"> IF( Table2[[#This Row],[target_lang]] = "notedoc", 1, 0)</f>
        <v>1</v>
      </c>
      <c r="D17" s="18" t="s">
        <v>192</v>
      </c>
      <c r="E17" s="18" t="str">
        <f>IF( Table2[[#This Row],[label]] = "", "", IF( Table2[[#This Row],[origin]] = "notedoc",  Table2[[#This Row],[origin]],  "noted"))</f>
        <v>notedoc</v>
      </c>
      <c r="F17" s="26" t="s">
        <v>139</v>
      </c>
      <c r="G17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g_tag_doc_exp_feeling_ok</v>
      </c>
      <c r="H17" s="27" t="s">
        <v>153</v>
      </c>
      <c r="I17" s="28" t="str">
        <f>Table2[[#This Row],[label]]</f>
        <v>REF</v>
      </c>
      <c r="J17" s="26" t="s">
        <v>256</v>
      </c>
      <c r="K17" s="30"/>
      <c r="L17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storage.type.class.${1:/downcase}._tag.doc.exp._feeling.ok.text.notedoc</v>
      </c>
      <c r="M17" s="16" t="str">
        <f>"" &amp;  IF(Table2[[#This Row],[hasUnsafeRegex]] = 0, Table2[[#This Row],[regexTermInput]], "(?:" &amp; Table2[[#This Row],[regexTermInput]] &amp; ")")</f>
        <v>REF</v>
      </c>
      <c r="N17" s="19">
        <f>IF( IFERROR( FIND("$", Table2[[#This Row],[unsafeRegexGuess]]), 0) &lt;=0, 0, 1)</f>
        <v>0</v>
      </c>
      <c r="O17" s="19">
        <f>IF( IFERROR( FIND("$", Table2[[#This Row],[anyRegexGuess]]), 0) &lt;=0, 0, 1)</f>
        <v>0</v>
      </c>
      <c r="P17" s="21" t="str">
        <f>SUBSTITUTE( SUBSTITUTE( SUBSTITUTE(SUBSTITUTE(Table2[[#This Row],[unsafeRegexGuess]], ")", "$"), "*", "$"), "+", "$"), "?", "$")</f>
        <v>REF</v>
      </c>
      <c r="Q17" s="21" t="str">
        <f xml:space="preserve"> SUBSTITUTE( SUBSTITUTE( SUBSTITUTE(Table2[[#This Row],[regexTermInput]], "(", "$"), "|", "$"), "^", "$")</f>
        <v>REF</v>
      </c>
      <c r="R17"/>
      <c r="S17"/>
      <c r="T17"/>
      <c r="U17"/>
      <c r="V17"/>
      <c r="W17"/>
      <c r="X17"/>
      <c r="Z17"/>
    </row>
    <row r="18" spans="2:26" ht="16" customHeight="1" outlineLevel="1" x14ac:dyDescent="0.25">
      <c r="B18" s="15">
        <f>IF( Table2[[#This Row],[target_lang]] = "noted", 1, 0)</f>
        <v>0</v>
      </c>
      <c r="C18" s="15">
        <f xml:space="preserve"> IF( Table2[[#This Row],[target_lang]] = "notedoc", 1, 0)</f>
        <v>1</v>
      </c>
      <c r="D18" s="18" t="s">
        <v>192</v>
      </c>
      <c r="E18" s="18" t="str">
        <f>IF( Table2[[#This Row],[label]] = "", "", IF( Table2[[#This Row],[origin]] = "notedoc",  Table2[[#This Row],[origin]],  "noted"))</f>
        <v>notedoc</v>
      </c>
      <c r="F18" s="26" t="s">
        <v>139</v>
      </c>
      <c r="G18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g_tag_doc_exp_feeling_ok</v>
      </c>
      <c r="H18" s="27" t="s">
        <v>141</v>
      </c>
      <c r="I18" s="28" t="str">
        <f>Table2[[#This Row],[label]]</f>
        <v>REPEAT</v>
      </c>
      <c r="J18" s="26" t="s">
        <v>256</v>
      </c>
      <c r="K18" s="30"/>
      <c r="L18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storage.type.class.${1:/downcase}._tag.doc.exp._feeling.ok.text.notedoc</v>
      </c>
      <c r="M18" s="16" t="str">
        <f>"" &amp;  IF(Table2[[#This Row],[hasUnsafeRegex]] = 0, Table2[[#This Row],[regexTermInput]], "(?:" &amp; Table2[[#This Row],[regexTermInput]] &amp; ")")</f>
        <v>REPEAT</v>
      </c>
      <c r="N18" s="19">
        <f>IF( IFERROR( FIND("$", Table2[[#This Row],[unsafeRegexGuess]]), 0) &lt;=0, 0, 1)</f>
        <v>0</v>
      </c>
      <c r="O18" s="19">
        <f>IF( IFERROR( FIND("$", Table2[[#This Row],[anyRegexGuess]]), 0) &lt;=0, 0, 1)</f>
        <v>0</v>
      </c>
      <c r="P18" s="21" t="str">
        <f>SUBSTITUTE( SUBSTITUTE( SUBSTITUTE(SUBSTITUTE(Table2[[#This Row],[unsafeRegexGuess]], ")", "$"), "*", "$"), "+", "$"), "?", "$")</f>
        <v>REPEAT</v>
      </c>
      <c r="Q18" s="21" t="str">
        <f xml:space="preserve"> SUBSTITUTE( SUBSTITUTE( SUBSTITUTE(Table2[[#This Row],[regexTermInput]], "(", "$"), "|", "$"), "^", "$")</f>
        <v>REPEAT</v>
      </c>
      <c r="R18"/>
      <c r="S18"/>
      <c r="T18"/>
      <c r="U18"/>
      <c r="V18"/>
      <c r="W18"/>
      <c r="X18"/>
      <c r="Z18"/>
    </row>
    <row r="19" spans="2:26" ht="16" customHeight="1" outlineLevel="1" x14ac:dyDescent="0.25">
      <c r="B19" s="15">
        <f>IF( Table2[[#This Row],[target_lang]] = "noted", 1, 0)</f>
        <v>0</v>
      </c>
      <c r="C19" s="15">
        <f xml:space="preserve"> IF( Table2[[#This Row],[target_lang]] = "notedoc", 1, 0)</f>
        <v>1</v>
      </c>
      <c r="D19" s="18" t="s">
        <v>192</v>
      </c>
      <c r="E19" s="18" t="str">
        <f>IF( Table2[[#This Row],[label]] = "", "", IF( Table2[[#This Row],[origin]] = "notedoc",  Table2[[#This Row],[origin]],  "noted"))</f>
        <v>notedoc</v>
      </c>
      <c r="F19" s="26" t="s">
        <v>139</v>
      </c>
      <c r="G19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g_tag_doc_exp_feeling_ok</v>
      </c>
      <c r="H19" s="27" t="s">
        <v>185</v>
      </c>
      <c r="I19" s="28" t="str">
        <f>Table2[[#This Row],[label]]</f>
        <v>SWITCH</v>
      </c>
      <c r="J19" s="26" t="s">
        <v>256</v>
      </c>
      <c r="K19" s="30"/>
      <c r="L19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storage.type.class.${1:/downcase}._tag.doc.exp._feeling.ok.text.notedoc</v>
      </c>
      <c r="M19" s="16" t="str">
        <f>"" &amp;  IF(Table2[[#This Row],[hasUnsafeRegex]] = 0, Table2[[#This Row],[regexTermInput]], "(?:" &amp; Table2[[#This Row],[regexTermInput]] &amp; ")")</f>
        <v>SWITCH</v>
      </c>
      <c r="N19" s="19">
        <f>IF( IFERROR( FIND("$", Table2[[#This Row],[unsafeRegexGuess]]), 0) &lt;=0, 0, 1)</f>
        <v>0</v>
      </c>
      <c r="O19" s="19">
        <f>IF( IFERROR( FIND("$", Table2[[#This Row],[anyRegexGuess]]), 0) &lt;=0, 0, 1)</f>
        <v>0</v>
      </c>
      <c r="P19" s="21" t="str">
        <f>SUBSTITUTE( SUBSTITUTE( SUBSTITUTE(SUBSTITUTE(Table2[[#This Row],[unsafeRegexGuess]], ")", "$"), "*", "$"), "+", "$"), "?", "$")</f>
        <v>SWITCH</v>
      </c>
      <c r="Q19" s="21" t="str">
        <f xml:space="preserve"> SUBSTITUTE( SUBSTITUTE( SUBSTITUTE(Table2[[#This Row],[regexTermInput]], "(", "$"), "|", "$"), "^", "$")</f>
        <v>SWITCH</v>
      </c>
      <c r="R19"/>
      <c r="S19"/>
      <c r="T19"/>
      <c r="U19"/>
      <c r="V19"/>
      <c r="W19"/>
      <c r="X19"/>
      <c r="Z19"/>
    </row>
    <row r="20" spans="2:26" ht="16" customHeight="1" outlineLevel="1" x14ac:dyDescent="0.25">
      <c r="B20" s="15">
        <f>IF( Table2[[#This Row],[target_lang]] = "noted", 1, 0)</f>
        <v>0</v>
      </c>
      <c r="C20" s="15">
        <f xml:space="preserve"> IF( Table2[[#This Row],[target_lang]] = "notedoc", 1, 0)</f>
        <v>1</v>
      </c>
      <c r="D20" s="18" t="s">
        <v>192</v>
      </c>
      <c r="E20" s="18" t="str">
        <f>IF( Table2[[#This Row],[label]] = "", "", IF( Table2[[#This Row],[origin]] = "notedoc",  Table2[[#This Row],[origin]],  "noted"))</f>
        <v>notedoc</v>
      </c>
      <c r="F20" s="26" t="s">
        <v>139</v>
      </c>
      <c r="G20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g_tag_doc_exp_feeling_ok</v>
      </c>
      <c r="H20" s="27" t="s">
        <v>137</v>
      </c>
      <c r="I20" s="28" t="str">
        <f>Table2[[#This Row],[label]]</f>
        <v>UNLESS</v>
      </c>
      <c r="J20" s="26" t="s">
        <v>256</v>
      </c>
      <c r="K20" s="31"/>
      <c r="L20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storage.type.class.${1:/downcase}._tag.doc.exp._feeling.ok.text.notedoc</v>
      </c>
      <c r="M20" s="18" t="str">
        <f>"" &amp;  IF(Table2[[#This Row],[hasUnsafeRegex]] = 0, Table2[[#This Row],[regexTermInput]], "(?:" &amp; Table2[[#This Row],[regexTermInput]] &amp; ")")</f>
        <v>UNLESS</v>
      </c>
      <c r="N20" s="19">
        <f>IF( IFERROR( FIND("$", Table2[[#This Row],[unsafeRegexGuess]]), 0) &lt;=0, 0, 1)</f>
        <v>0</v>
      </c>
      <c r="O20" s="19">
        <f>IF( IFERROR( FIND("$", Table2[[#This Row],[anyRegexGuess]]), 0) &lt;=0, 0, 1)</f>
        <v>0</v>
      </c>
      <c r="P20" s="21" t="str">
        <f>SUBSTITUTE( SUBSTITUTE( SUBSTITUTE(SUBSTITUTE(Table2[[#This Row],[unsafeRegexGuess]], ")", "$"), "*", "$"), "+", "$"), "?", "$")</f>
        <v>UNLESS</v>
      </c>
      <c r="Q20" s="21" t="str">
        <f xml:space="preserve"> SUBSTITUTE( SUBSTITUTE( SUBSTITUTE(Table2[[#This Row],[regexTermInput]], "(", "$"), "|", "$"), "^", "$")</f>
        <v>UNLESS</v>
      </c>
      <c r="R20"/>
      <c r="S20"/>
      <c r="T20"/>
      <c r="U20"/>
      <c r="V20"/>
      <c r="W20"/>
      <c r="X20"/>
      <c r="Z20"/>
    </row>
    <row r="21" spans="2:26" ht="16" customHeight="1" outlineLevel="1" x14ac:dyDescent="0.25">
      <c r="B21" s="15">
        <f>IF( Table2[[#This Row],[target_lang]] = "noted", 1, 0)</f>
        <v>0</v>
      </c>
      <c r="C21" s="15">
        <f xml:space="preserve"> IF( Table2[[#This Row],[target_lang]] = "notedoc", 1, 0)</f>
        <v>1</v>
      </c>
      <c r="D21" s="18" t="s">
        <v>192</v>
      </c>
      <c r="E21" s="18" t="str">
        <f>IF( Table2[[#This Row],[label]] = "", "", IF( Table2[[#This Row],[origin]] = "notedoc",  Table2[[#This Row],[origin]],  "noted"))</f>
        <v>notedoc</v>
      </c>
      <c r="F21" s="26" t="s">
        <v>139</v>
      </c>
      <c r="G21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g_tag_doc_exp_feeling_ok</v>
      </c>
      <c r="H21" s="27" t="s">
        <v>142</v>
      </c>
      <c r="I21" s="28" t="str">
        <f>Table2[[#This Row],[label]]</f>
        <v>UNTIL</v>
      </c>
      <c r="J21" s="26" t="s">
        <v>256</v>
      </c>
      <c r="K21" s="30"/>
      <c r="L21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storage.type.class.${1:/downcase}._tag.doc.exp._feeling.ok.text.notedoc</v>
      </c>
      <c r="M21" s="16" t="str">
        <f>"" &amp;  IF(Table2[[#This Row],[hasUnsafeRegex]] = 0, Table2[[#This Row],[regexTermInput]], "(?:" &amp; Table2[[#This Row],[regexTermInput]] &amp; ")")</f>
        <v>UNTIL</v>
      </c>
      <c r="N21" s="19">
        <f>IF( IFERROR( FIND("$", Table2[[#This Row],[unsafeRegexGuess]]), 0) &lt;=0, 0, 1)</f>
        <v>0</v>
      </c>
      <c r="O21" s="19">
        <f>IF( IFERROR( FIND("$", Table2[[#This Row],[anyRegexGuess]]), 0) &lt;=0, 0, 1)</f>
        <v>0</v>
      </c>
      <c r="P21" s="21" t="str">
        <f>SUBSTITUTE( SUBSTITUTE( SUBSTITUTE(SUBSTITUTE(Table2[[#This Row],[unsafeRegexGuess]], ")", "$"), "*", "$"), "+", "$"), "?", "$")</f>
        <v>UNTIL</v>
      </c>
      <c r="Q21" s="21" t="str">
        <f xml:space="preserve"> SUBSTITUTE( SUBSTITUTE( SUBSTITUTE(Table2[[#This Row],[regexTermInput]], "(", "$"), "|", "$"), "^", "$")</f>
        <v>UNTIL</v>
      </c>
      <c r="R21"/>
      <c r="S21"/>
      <c r="T21"/>
      <c r="U21"/>
      <c r="V21"/>
      <c r="W21"/>
      <c r="X21"/>
      <c r="Z21"/>
    </row>
    <row r="22" spans="2:26" ht="16" customHeight="1" outlineLevel="1" x14ac:dyDescent="0.25">
      <c r="B22" s="15">
        <f>IF( Table2[[#This Row],[target_lang]] = "noted", 1, 0)</f>
        <v>0</v>
      </c>
      <c r="C22" s="15">
        <f xml:space="preserve"> IF( Table2[[#This Row],[target_lang]] = "notedoc", 1, 0)</f>
        <v>1</v>
      </c>
      <c r="D22" s="18" t="s">
        <v>192</v>
      </c>
      <c r="E22" s="18" t="str">
        <f>IF( Table2[[#This Row],[label]] = "", "", IF( Table2[[#This Row],[origin]] = "notedoc",  Table2[[#This Row],[origin]],  "noted"))</f>
        <v>notedoc</v>
      </c>
      <c r="F22" s="26" t="s">
        <v>139</v>
      </c>
      <c r="G22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g_tag_doc_exp_feeling_ok</v>
      </c>
      <c r="H22" s="27" t="s">
        <v>138</v>
      </c>
      <c r="I22" s="28" t="str">
        <f>Table2[[#This Row],[label]]</f>
        <v>WHILE</v>
      </c>
      <c r="J22" s="26" t="s">
        <v>256</v>
      </c>
      <c r="K22" s="30"/>
      <c r="L22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storage.type.class.${1:/downcase}._tag.doc.exp._feeling.ok.text.notedoc</v>
      </c>
      <c r="M22" s="16" t="str">
        <f>"" &amp;  IF(Table2[[#This Row],[hasUnsafeRegex]] = 0, Table2[[#This Row],[regexTermInput]], "(?:" &amp; Table2[[#This Row],[regexTermInput]] &amp; ")")</f>
        <v>WHILE</v>
      </c>
      <c r="N22" s="19">
        <f>IF( IFERROR( FIND("$", Table2[[#This Row],[unsafeRegexGuess]]), 0) &lt;=0, 0, 1)</f>
        <v>0</v>
      </c>
      <c r="O22" s="19">
        <f>IF( IFERROR( FIND("$", Table2[[#This Row],[anyRegexGuess]]), 0) &lt;=0, 0, 1)</f>
        <v>0</v>
      </c>
      <c r="P22" s="21" t="str">
        <f>SUBSTITUTE( SUBSTITUTE( SUBSTITUTE(SUBSTITUTE(Table2[[#This Row],[unsafeRegexGuess]], ")", "$"), "*", "$"), "+", "$"), "?", "$")</f>
        <v>WHILE</v>
      </c>
      <c r="Q22" s="21" t="str">
        <f xml:space="preserve"> SUBSTITUTE( SUBSTITUTE( SUBSTITUTE(Table2[[#This Row],[regexTermInput]], "(", "$"), "|", "$"), "^", "$")</f>
        <v>WHILE</v>
      </c>
      <c r="R22"/>
      <c r="S22"/>
      <c r="T22"/>
      <c r="U22"/>
      <c r="V22"/>
      <c r="W22"/>
      <c r="X22"/>
      <c r="Z22"/>
    </row>
    <row r="23" spans="2:26" ht="16" customHeight="1" outlineLevel="1" x14ac:dyDescent="0.25">
      <c r="B23" s="15">
        <f>IF( Table2[[#This Row],[target_lang]] = "noted", 1, 0)</f>
        <v>0</v>
      </c>
      <c r="C23" s="15">
        <f xml:space="preserve"> IF( Table2[[#This Row],[target_lang]] = "notedoc", 1, 0)</f>
        <v>1</v>
      </c>
      <c r="D23" s="18" t="s">
        <v>192</v>
      </c>
      <c r="E23" s="18" t="str">
        <f>IF( Table2[[#This Row],[label]] = "", "", IF( Table2[[#This Row],[origin]] = "notedoc",  Table2[[#This Row],[origin]],  "noted"))</f>
        <v>notedoc</v>
      </c>
      <c r="F23" s="26" t="s">
        <v>135</v>
      </c>
      <c r="G23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g_tag_doc_gen_feeling_ok</v>
      </c>
      <c r="H23" s="27" t="s">
        <v>151</v>
      </c>
      <c r="I23" s="28" t="str">
        <f>Table2[[#This Row],[label]]</f>
        <v>ARRAY</v>
      </c>
      <c r="J23" s="26" t="s">
        <v>256</v>
      </c>
      <c r="K23" s="30"/>
      <c r="L23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storage.type.class.${1:/downcase}._tag.doc.gen._feeling.ok.text.notedoc</v>
      </c>
      <c r="M23" s="16" t="str">
        <f>"" &amp;  IF(Table2[[#This Row],[hasUnsafeRegex]] = 0, Table2[[#This Row],[regexTermInput]], "(?:" &amp; Table2[[#This Row],[regexTermInput]] &amp; ")")</f>
        <v>ARRAY</v>
      </c>
      <c r="N23" s="19">
        <f>IF( IFERROR( FIND("$", Table2[[#This Row],[unsafeRegexGuess]]), 0) &lt;=0, 0, 1)</f>
        <v>0</v>
      </c>
      <c r="O23" s="19">
        <f>IF( IFERROR( FIND("$", Table2[[#This Row],[anyRegexGuess]]), 0) &lt;=0, 0, 1)</f>
        <v>0</v>
      </c>
      <c r="P23" s="21" t="str">
        <f>SUBSTITUTE( SUBSTITUTE( SUBSTITUTE(SUBSTITUTE(Table2[[#This Row],[unsafeRegexGuess]], ")", "$"), "*", "$"), "+", "$"), "?", "$")</f>
        <v>ARRAY</v>
      </c>
      <c r="Q23" s="21" t="str">
        <f xml:space="preserve"> SUBSTITUTE( SUBSTITUTE( SUBSTITUTE(Table2[[#This Row],[regexTermInput]], "(", "$"), "|", "$"), "^", "$")</f>
        <v>ARRAY</v>
      </c>
      <c r="R23"/>
      <c r="S23"/>
      <c r="T23"/>
      <c r="U23"/>
      <c r="V23"/>
      <c r="W23"/>
      <c r="X23"/>
      <c r="Z23"/>
    </row>
    <row r="24" spans="2:26" ht="16" customHeight="1" outlineLevel="1" x14ac:dyDescent="0.25">
      <c r="B24" s="15">
        <f>IF( Table2[[#This Row],[target_lang]] = "noted", 1, 0)</f>
        <v>0</v>
      </c>
      <c r="C24" s="15">
        <f xml:space="preserve"> IF( Table2[[#This Row],[target_lang]] = "notedoc", 1, 0)</f>
        <v>1</v>
      </c>
      <c r="D24" s="18" t="s">
        <v>192</v>
      </c>
      <c r="E24" s="18" t="str">
        <f>IF( Table2[[#This Row],[label]] = "", "", IF( Table2[[#This Row],[origin]] = "notedoc",  Table2[[#This Row],[origin]],  "noted"))</f>
        <v>notedoc</v>
      </c>
      <c r="F24" s="26" t="s">
        <v>135</v>
      </c>
      <c r="G24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g_tag_doc_gen_feeling_ok</v>
      </c>
      <c r="H24" s="27" t="s">
        <v>165</v>
      </c>
      <c r="I24" s="28" t="s">
        <v>154</v>
      </c>
      <c r="J24" s="26" t="s">
        <v>256</v>
      </c>
      <c r="K24" s="30"/>
      <c r="L24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storage.type.class.${1:/downcase}._tag.doc.gen._feeling.ok.text.notedoc</v>
      </c>
      <c r="M24" s="16" t="str">
        <f>"" &amp;  IF(Table2[[#This Row],[hasUnsafeRegex]] = 0, Table2[[#This Row],[regexTermInput]], "(?:" &amp; Table2[[#This Row],[regexTermInput]] &amp; ")")</f>
        <v>ARRAY_?REF</v>
      </c>
      <c r="N24" s="19">
        <f>IF( IFERROR( FIND("$", Table2[[#This Row],[unsafeRegexGuess]]), 0) &lt;=0, 0, 1)</f>
        <v>0</v>
      </c>
      <c r="O24" s="19">
        <f>IF( IFERROR( FIND("$", Table2[[#This Row],[anyRegexGuess]]), 0) &lt;=0, 0, 1)</f>
        <v>1</v>
      </c>
      <c r="P24" s="21" t="str">
        <f>SUBSTITUTE( SUBSTITUTE( SUBSTITUTE(SUBSTITUTE(Table2[[#This Row],[unsafeRegexGuess]], ")", "$"), "*", "$"), "+", "$"), "?", "$")</f>
        <v>ARRAY_$REF</v>
      </c>
      <c r="Q24" s="21" t="str">
        <f xml:space="preserve"> SUBSTITUTE( SUBSTITUTE( SUBSTITUTE(Table2[[#This Row],[regexTermInput]], "(", "$"), "|", "$"), "^", "$")</f>
        <v>ARRAY_?REF</v>
      </c>
      <c r="R24"/>
      <c r="S24"/>
      <c r="T24"/>
      <c r="U24"/>
      <c r="V24"/>
      <c r="W24"/>
      <c r="X24"/>
      <c r="Z24"/>
    </row>
    <row r="25" spans="2:26" ht="16" customHeight="1" outlineLevel="1" x14ac:dyDescent="0.25">
      <c r="B25" s="15">
        <f>IF( Table2[[#This Row],[target_lang]] = "noted", 1, 0)</f>
        <v>0</v>
      </c>
      <c r="C25" s="15">
        <f xml:space="preserve"> IF( Table2[[#This Row],[target_lang]] = "notedoc", 1, 0)</f>
        <v>1</v>
      </c>
      <c r="D25" s="18" t="s">
        <v>192</v>
      </c>
      <c r="E25" s="18" t="str">
        <f>IF( Table2[[#This Row],[label]] = "", "", IF( Table2[[#This Row],[origin]] = "notedoc",  Table2[[#This Row],[origin]],  "noted"))</f>
        <v>notedoc</v>
      </c>
      <c r="F25" s="26" t="s">
        <v>135</v>
      </c>
      <c r="G25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g_tag_doc_gen_feeling_ok</v>
      </c>
      <c r="H25" s="27" t="s">
        <v>152</v>
      </c>
      <c r="I25" s="28" t="str">
        <f>Table2[[#This Row],[label]]</f>
        <v>HASH</v>
      </c>
      <c r="J25" s="26" t="s">
        <v>256</v>
      </c>
      <c r="K25" s="30"/>
      <c r="L25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storage.type.class.${1:/downcase}._tag.doc.gen._feeling.ok.text.notedoc</v>
      </c>
      <c r="M25" s="16" t="str">
        <f>"" &amp;  IF(Table2[[#This Row],[hasUnsafeRegex]] = 0, Table2[[#This Row],[regexTermInput]], "(?:" &amp; Table2[[#This Row],[regexTermInput]] &amp; ")")</f>
        <v>HASH</v>
      </c>
      <c r="N25" s="19">
        <f>IF( IFERROR( FIND("$", Table2[[#This Row],[unsafeRegexGuess]]), 0) &lt;=0, 0, 1)</f>
        <v>0</v>
      </c>
      <c r="O25" s="19">
        <f>IF( IFERROR( FIND("$", Table2[[#This Row],[anyRegexGuess]]), 0) &lt;=0, 0, 1)</f>
        <v>0</v>
      </c>
      <c r="P25" s="21" t="str">
        <f>SUBSTITUTE( SUBSTITUTE( SUBSTITUTE(SUBSTITUTE(Table2[[#This Row],[unsafeRegexGuess]], ")", "$"), "*", "$"), "+", "$"), "?", "$")</f>
        <v>HASH</v>
      </c>
      <c r="Q25" s="21" t="str">
        <f xml:space="preserve"> SUBSTITUTE( SUBSTITUTE( SUBSTITUTE(Table2[[#This Row],[regexTermInput]], "(", "$"), "|", "$"), "^", "$")</f>
        <v>HASH</v>
      </c>
      <c r="R25"/>
      <c r="S25"/>
      <c r="T25"/>
      <c r="U25"/>
      <c r="V25"/>
      <c r="W25"/>
      <c r="X25"/>
      <c r="Z25"/>
    </row>
    <row r="26" spans="2:26" ht="16" customHeight="1" outlineLevel="1" x14ac:dyDescent="0.25">
      <c r="B26" s="15">
        <f>IF( Table2[[#This Row],[target_lang]] = "noted", 1, 0)</f>
        <v>0</v>
      </c>
      <c r="C26" s="15">
        <f xml:space="preserve"> IF( Table2[[#This Row],[target_lang]] = "notedoc", 1, 0)</f>
        <v>1</v>
      </c>
      <c r="D26" s="18" t="s">
        <v>192</v>
      </c>
      <c r="E26" s="18" t="str">
        <f>IF( Table2[[#This Row],[label]] = "", "", IF( Table2[[#This Row],[origin]] = "notedoc",  Table2[[#This Row],[origin]],  "noted"))</f>
        <v>notedoc</v>
      </c>
      <c r="F26" s="26" t="s">
        <v>135</v>
      </c>
      <c r="G26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g_tag_doc_gen_feeling_ok</v>
      </c>
      <c r="H26" s="27" t="s">
        <v>166</v>
      </c>
      <c r="I26" s="28" t="s">
        <v>155</v>
      </c>
      <c r="J26" s="26" t="s">
        <v>256</v>
      </c>
      <c r="K26" s="30"/>
      <c r="L26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storage.type.class.${1:/downcase}._tag.doc.gen._feeling.ok.text.notedoc</v>
      </c>
      <c r="M26" s="16" t="str">
        <f>"" &amp;  IF(Table2[[#This Row],[hasUnsafeRegex]] = 0, Table2[[#This Row],[regexTermInput]], "(?:" &amp; Table2[[#This Row],[regexTermInput]] &amp; ")")</f>
        <v>HASH_?REF</v>
      </c>
      <c r="N26" s="19">
        <f>IF( IFERROR( FIND("$", Table2[[#This Row],[unsafeRegexGuess]]), 0) &lt;=0, 0, 1)</f>
        <v>0</v>
      </c>
      <c r="O26" s="19">
        <f>IF( IFERROR( FIND("$", Table2[[#This Row],[anyRegexGuess]]), 0) &lt;=0, 0, 1)</f>
        <v>1</v>
      </c>
      <c r="P26" s="21" t="str">
        <f>SUBSTITUTE( SUBSTITUTE( SUBSTITUTE(SUBSTITUTE(Table2[[#This Row],[unsafeRegexGuess]], ")", "$"), "*", "$"), "+", "$"), "?", "$")</f>
        <v>HASH_$REF</v>
      </c>
      <c r="Q26" s="21" t="str">
        <f xml:space="preserve"> SUBSTITUTE( SUBSTITUTE( SUBSTITUTE(Table2[[#This Row],[regexTermInput]], "(", "$"), "|", "$"), "^", "$")</f>
        <v>HASH_?REF</v>
      </c>
      <c r="R26"/>
      <c r="S26"/>
      <c r="T26"/>
      <c r="U26"/>
      <c r="V26"/>
      <c r="W26"/>
      <c r="X26"/>
      <c r="Z26"/>
    </row>
    <row r="27" spans="2:26" outlineLevel="1" x14ac:dyDescent="0.25">
      <c r="B27" s="15">
        <f>IF( Table2[[#This Row],[target_lang]] = "noted", 1, 0)</f>
        <v>0</v>
      </c>
      <c r="C27" s="15">
        <f xml:space="preserve"> IF( Table2[[#This Row],[target_lang]] = "notedoc", 1, 0)</f>
        <v>1</v>
      </c>
      <c r="D27" s="18" t="s">
        <v>192</v>
      </c>
      <c r="E27" s="18" t="str">
        <f>IF( Table2[[#This Row],[label]] = "", "", IF( Table2[[#This Row],[origin]] = "notedoc",  Table2[[#This Row],[origin]],  "noted"))</f>
        <v>notedoc</v>
      </c>
      <c r="F27" s="26" t="s">
        <v>135</v>
      </c>
      <c r="G27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g_tag_doc_gen_feeling_ok</v>
      </c>
      <c r="H27" s="27" t="s">
        <v>169</v>
      </c>
      <c r="I27" s="28" t="s">
        <v>149</v>
      </c>
      <c r="J27" s="26" t="s">
        <v>256</v>
      </c>
      <c r="K27" s="30"/>
      <c r="L27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storage.type.class.${1:/downcase}._tag.doc.gen._feeling.ok.text.notedoc</v>
      </c>
      <c r="M27" s="16" t="str">
        <f>"" &amp;  IF(Table2[[#This Row],[hasUnsafeRegex]] = 0, Table2[[#This Row],[regexTermInput]], "(?:" &amp; Table2[[#This Row],[regexTermInput]] &amp; ")")</f>
        <v>KEYS?</v>
      </c>
      <c r="N27" s="19">
        <f>IF( IFERROR( FIND("$", Table2[[#This Row],[unsafeRegexGuess]]), 0) &lt;=0, 0, 1)</f>
        <v>0</v>
      </c>
      <c r="O27" s="19">
        <f>IF( IFERROR( FIND("$", Table2[[#This Row],[anyRegexGuess]]), 0) &lt;=0, 0, 1)</f>
        <v>1</v>
      </c>
      <c r="P27" s="21" t="str">
        <f>SUBSTITUTE( SUBSTITUTE( SUBSTITUTE(SUBSTITUTE(Table2[[#This Row],[unsafeRegexGuess]], ")", "$"), "*", "$"), "+", "$"), "?", "$")</f>
        <v>KEYS$</v>
      </c>
      <c r="Q27" s="21" t="str">
        <f xml:space="preserve"> SUBSTITUTE( SUBSTITUTE( SUBSTITUTE(Table2[[#This Row],[regexTermInput]], "(", "$"), "|", "$"), "^", "$")</f>
        <v>KEYS?</v>
      </c>
      <c r="R27"/>
      <c r="S27"/>
      <c r="T27"/>
      <c r="U27"/>
      <c r="V27"/>
      <c r="W27"/>
      <c r="X27"/>
      <c r="Z27"/>
    </row>
    <row r="28" spans="2:26" ht="16" customHeight="1" outlineLevel="1" x14ac:dyDescent="0.25">
      <c r="B28" s="15">
        <f>IF( Table2[[#This Row],[target_lang]] = "noted", 1, 0)</f>
        <v>0</v>
      </c>
      <c r="C28" s="15">
        <f xml:space="preserve"> IF( Table2[[#This Row],[target_lang]] = "notedoc", 1, 0)</f>
        <v>1</v>
      </c>
      <c r="D28" s="18" t="s">
        <v>192</v>
      </c>
      <c r="E28" s="18" t="str">
        <f>IF( Table2[[#This Row],[label]] = "", "", IF( Table2[[#This Row],[origin]] = "notedoc",  Table2[[#This Row],[origin]],  "noted"))</f>
        <v>notedoc</v>
      </c>
      <c r="F28" s="26" t="s">
        <v>135</v>
      </c>
      <c r="G28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g_tag_doc_gen_feeling_ok</v>
      </c>
      <c r="H28" s="27" t="s">
        <v>113</v>
      </c>
      <c r="I28" s="28" t="str">
        <f>Table2[[#This Row],[label]]</f>
        <v>OTHERWISE</v>
      </c>
      <c r="J28" s="26" t="s">
        <v>256</v>
      </c>
      <c r="K28" s="30"/>
      <c r="L28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storage.type.class.${1:/downcase}._tag.doc.gen._feeling.ok.text.notedoc</v>
      </c>
      <c r="M28" s="16" t="str">
        <f>"" &amp;  IF(Table2[[#This Row],[hasUnsafeRegex]] = 0, Table2[[#This Row],[regexTermInput]], "(?:" &amp; Table2[[#This Row],[regexTermInput]] &amp; ")")</f>
        <v>OTHERWISE</v>
      </c>
      <c r="N28" s="19">
        <f>IF( IFERROR( FIND("$", Table2[[#This Row],[unsafeRegexGuess]]), 0) &lt;=0, 0, 1)</f>
        <v>0</v>
      </c>
      <c r="O28" s="19">
        <f>IF( IFERROR( FIND("$", Table2[[#This Row],[anyRegexGuess]]), 0) &lt;=0, 0, 1)</f>
        <v>0</v>
      </c>
      <c r="P28" s="21" t="str">
        <f>SUBSTITUTE( SUBSTITUTE( SUBSTITUTE(SUBSTITUTE(Table2[[#This Row],[unsafeRegexGuess]], ")", "$"), "*", "$"), "+", "$"), "?", "$")</f>
        <v>OTHERWISE</v>
      </c>
      <c r="Q28" s="21" t="str">
        <f xml:space="preserve"> SUBSTITUTE( SUBSTITUTE( SUBSTITUTE(Table2[[#This Row],[regexTermInput]], "(", "$"), "|", "$"), "^", "$")</f>
        <v>OTHERWISE</v>
      </c>
      <c r="R28"/>
      <c r="S28"/>
      <c r="T28"/>
      <c r="U28"/>
      <c r="V28"/>
      <c r="W28"/>
      <c r="X28"/>
      <c r="Z28"/>
    </row>
    <row r="29" spans="2:26" ht="16" customHeight="1" outlineLevel="1" x14ac:dyDescent="0.25">
      <c r="B29" s="15">
        <f>IF( Table2[[#This Row],[target_lang]] = "noted", 1, 0)</f>
        <v>0</v>
      </c>
      <c r="C29" s="15">
        <f xml:space="preserve"> IF( Table2[[#This Row],[target_lang]] = "notedoc", 1, 0)</f>
        <v>1</v>
      </c>
      <c r="D29" s="18" t="s">
        <v>192</v>
      </c>
      <c r="E29" s="18" t="str">
        <f>IF( Table2[[#This Row],[label]] = "", "", IF( Table2[[#This Row],[origin]] = "notedoc",  Table2[[#This Row],[origin]],  "noted"))</f>
        <v>notedoc</v>
      </c>
      <c r="F29" s="26" t="s">
        <v>135</v>
      </c>
      <c r="G29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g_tag_doc_gen_feeling_ok</v>
      </c>
      <c r="H29" s="27" t="s">
        <v>167</v>
      </c>
      <c r="I29" s="28" t="s">
        <v>128</v>
      </c>
      <c r="J29" s="26" t="s">
        <v>256</v>
      </c>
      <c r="K29" s="30"/>
      <c r="L29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storage.type.class.${1:/downcase}._tag.doc.gen._feeling.ok.text.notedoc</v>
      </c>
      <c r="M29" s="16" t="str">
        <f>"" &amp;  IF(Table2[[#This Row],[hasUnsafeRegex]] = 0, Table2[[#This Row],[regexTermInput]], "(?:" &amp; Table2[[#This Row],[regexTermInput]] &amp; ")")</f>
        <v>TYPES?</v>
      </c>
      <c r="N29" s="19">
        <f>IF( IFERROR( FIND("$", Table2[[#This Row],[unsafeRegexGuess]]), 0) &lt;=0, 0, 1)</f>
        <v>0</v>
      </c>
      <c r="O29" s="19">
        <f>IF( IFERROR( FIND("$", Table2[[#This Row],[anyRegexGuess]]), 0) &lt;=0, 0, 1)</f>
        <v>1</v>
      </c>
      <c r="P29" s="21" t="str">
        <f>SUBSTITUTE( SUBSTITUTE( SUBSTITUTE(SUBSTITUTE(Table2[[#This Row],[unsafeRegexGuess]], ")", "$"), "*", "$"), "+", "$"), "?", "$")</f>
        <v>TYPES$</v>
      </c>
      <c r="Q29" s="21" t="str">
        <f xml:space="preserve"> SUBSTITUTE( SUBSTITUTE( SUBSTITUTE(Table2[[#This Row],[regexTermInput]], "(", "$"), "|", "$"), "^", "$")</f>
        <v>TYPES?</v>
      </c>
      <c r="R29"/>
      <c r="S29"/>
      <c r="T29"/>
      <c r="U29"/>
      <c r="V29"/>
      <c r="W29"/>
      <c r="X29"/>
      <c r="Z29"/>
    </row>
    <row r="30" spans="2:26" ht="16" customHeight="1" outlineLevel="1" x14ac:dyDescent="0.25">
      <c r="B30" s="15">
        <f>IF( Table2[[#This Row],[target_lang]] = "noted", 1, 0)</f>
        <v>0</v>
      </c>
      <c r="C30" s="15">
        <f xml:space="preserve"> IF( Table2[[#This Row],[target_lang]] = "notedoc", 1, 0)</f>
        <v>1</v>
      </c>
      <c r="D30" s="18" t="s">
        <v>192</v>
      </c>
      <c r="E30" s="18" t="str">
        <f>IF( Table2[[#This Row],[label]] = "", "", IF( Table2[[#This Row],[origin]] = "notedoc",  Table2[[#This Row],[origin]],  "noted"))</f>
        <v>notedoc</v>
      </c>
      <c r="F30" s="26" t="s">
        <v>135</v>
      </c>
      <c r="G30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g_tag_doc_gen_feeling_ok</v>
      </c>
      <c r="H30" s="27" t="s">
        <v>168</v>
      </c>
      <c r="I30" s="28" t="s">
        <v>150</v>
      </c>
      <c r="J30" s="26" t="s">
        <v>256</v>
      </c>
      <c r="K30" s="30"/>
      <c r="L30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storage.type.class.${1:/downcase}._tag.doc.gen._feeling.ok.text.notedoc</v>
      </c>
      <c r="M30" s="16" t="str">
        <f>"" &amp;  IF(Table2[[#This Row],[hasUnsafeRegex]] = 0, Table2[[#This Row],[regexTermInput]], "(?:" &amp; Table2[[#This Row],[regexTermInput]] &amp; ")")</f>
        <v>VALUES?</v>
      </c>
      <c r="N30" s="19">
        <f>IF( IFERROR( FIND("$", Table2[[#This Row],[unsafeRegexGuess]]), 0) &lt;=0, 0, 1)</f>
        <v>0</v>
      </c>
      <c r="O30" s="19">
        <f>IF( IFERROR( FIND("$", Table2[[#This Row],[anyRegexGuess]]), 0) &lt;=0, 0, 1)</f>
        <v>1</v>
      </c>
      <c r="P30" s="21" t="str">
        <f>SUBSTITUTE( SUBSTITUTE( SUBSTITUTE(SUBSTITUTE(Table2[[#This Row],[unsafeRegexGuess]], ")", "$"), "*", "$"), "+", "$"), "?", "$")</f>
        <v>VALUES$</v>
      </c>
      <c r="Q30" s="21" t="str">
        <f xml:space="preserve"> SUBSTITUTE( SUBSTITUTE( SUBSTITUTE(Table2[[#This Row],[regexTermInput]], "(", "$"), "|", "$"), "^", "$")</f>
        <v>VALUES?</v>
      </c>
      <c r="R30"/>
      <c r="S30"/>
      <c r="T30"/>
      <c r="U30"/>
      <c r="V30"/>
      <c r="W30"/>
      <c r="X30"/>
      <c r="Z30"/>
    </row>
    <row r="31" spans="2:26" ht="16" customHeight="1" outlineLevel="1" x14ac:dyDescent="0.25">
      <c r="B31" s="15">
        <f>IF( Table2[[#This Row],[target_lang]] = "noted", 1, 0)</f>
        <v>0</v>
      </c>
      <c r="C31" s="15">
        <f xml:space="preserve"> IF( Table2[[#This Row],[target_lang]] = "notedoc", 1, 0)</f>
        <v>1</v>
      </c>
      <c r="D31" s="18" t="s">
        <v>192</v>
      </c>
      <c r="E31" s="18" t="str">
        <f>IF( Table2[[#This Row],[label]] = "", "", IF( Table2[[#This Row],[origin]] = "notedoc",  Table2[[#This Row],[origin]],  "noted"))</f>
        <v>notedoc</v>
      </c>
      <c r="F31" s="26" t="s">
        <v>114</v>
      </c>
      <c r="G31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g_tag_doc_oo_feeling_ok</v>
      </c>
      <c r="H31" s="27" t="s">
        <v>170</v>
      </c>
      <c r="I31" s="28" t="s">
        <v>133</v>
      </c>
      <c r="J31" s="26" t="s">
        <v>256</v>
      </c>
      <c r="K31" s="30"/>
      <c r="L31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storage.type.class.${1:/downcase}._tag.doc.oo._feeling.ok.text.notedoc</v>
      </c>
      <c r="M31" s="16" t="str">
        <f>"" &amp;  IF(Table2[[#This Row],[hasUnsafeRegex]] = 0, Table2[[#This Row],[regexTermInput]], "(?:" &amp; Table2[[#This Row],[regexTermInput]] &amp; ")")</f>
        <v>(?:ATTR(?:IBUTE)?S?)</v>
      </c>
      <c r="N31" s="19">
        <f>IF( IFERROR( FIND("$", Table2[[#This Row],[unsafeRegexGuess]]), 0) &lt;=0, 0, 1)</f>
        <v>1</v>
      </c>
      <c r="O31" s="19">
        <f>IF( IFERROR( FIND("$", Table2[[#This Row],[anyRegexGuess]]), 0) &lt;=0, 0, 1)</f>
        <v>1</v>
      </c>
      <c r="P31" s="21" t="str">
        <f>SUBSTITUTE( SUBSTITUTE( SUBSTITUTE(SUBSTITUTE(Table2[[#This Row],[unsafeRegexGuess]], ")", "$"), "*", "$"), "+", "$"), "?", "$")</f>
        <v>ATTR$$:IBUTE$$S$</v>
      </c>
      <c r="Q31" s="21" t="str">
        <f xml:space="preserve"> SUBSTITUTE( SUBSTITUTE( SUBSTITUTE(Table2[[#This Row],[regexTermInput]], "(", "$"), "|", "$"), "^", "$")</f>
        <v>ATTR$?:IBUTE)?S?</v>
      </c>
      <c r="R31"/>
      <c r="S31"/>
      <c r="T31"/>
      <c r="U31"/>
      <c r="V31"/>
      <c r="W31"/>
      <c r="X31"/>
      <c r="Z31"/>
    </row>
    <row r="32" spans="2:26" ht="16" customHeight="1" outlineLevel="1" x14ac:dyDescent="0.25">
      <c r="B32" s="15">
        <f>IF( Table2[[#This Row],[target_lang]] = "noted", 1, 0)</f>
        <v>0</v>
      </c>
      <c r="C32" s="15">
        <f xml:space="preserve"> IF( Table2[[#This Row],[target_lang]] = "notedoc", 1, 0)</f>
        <v>1</v>
      </c>
      <c r="D32" s="18" t="s">
        <v>192</v>
      </c>
      <c r="E32" s="18" t="str">
        <f>IF( Table2[[#This Row],[label]] = "", "", IF( Table2[[#This Row],[origin]] = "notedoc",  Table2[[#This Row],[origin]],  "noted"))</f>
        <v>notedoc</v>
      </c>
      <c r="F32" s="26" t="s">
        <v>114</v>
      </c>
      <c r="G32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g_tag_doc_oo_feeling_ok</v>
      </c>
      <c r="H32" s="27" t="s">
        <v>171</v>
      </c>
      <c r="I32" s="28" t="s">
        <v>127</v>
      </c>
      <c r="J32" s="26" t="s">
        <v>256</v>
      </c>
      <c r="K32" s="30"/>
      <c r="L32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storage.type.class.${1:/downcase}._tag.doc.oo._feeling.ok.text.notedoc</v>
      </c>
      <c r="M32" s="16" t="str">
        <f>"" &amp;  IF(Table2[[#This Row],[hasUnsafeRegex]] = 0, Table2[[#This Row],[regexTermInput]], "(?:" &amp; Table2[[#This Row],[regexTermInput]] &amp; ")")</f>
        <v>(?:CLASS(?:ES)?)</v>
      </c>
      <c r="N32" s="19">
        <f>IF( IFERROR( FIND("$", Table2[[#This Row],[unsafeRegexGuess]]), 0) &lt;=0, 0, 1)</f>
        <v>1</v>
      </c>
      <c r="O32" s="19">
        <f>IF( IFERROR( FIND("$", Table2[[#This Row],[anyRegexGuess]]), 0) &lt;=0, 0, 1)</f>
        <v>1</v>
      </c>
      <c r="P32" s="21" t="str">
        <f>SUBSTITUTE( SUBSTITUTE( SUBSTITUTE(SUBSTITUTE(Table2[[#This Row],[unsafeRegexGuess]], ")", "$"), "*", "$"), "+", "$"), "?", "$")</f>
        <v>CLASS$$:ES$$</v>
      </c>
      <c r="Q32" s="21" t="str">
        <f xml:space="preserve"> SUBSTITUTE( SUBSTITUTE( SUBSTITUTE(Table2[[#This Row],[regexTermInput]], "(", "$"), "|", "$"), "^", "$")</f>
        <v>CLASS$?:ES)?</v>
      </c>
      <c r="R32"/>
      <c r="S32"/>
      <c r="T32"/>
      <c r="U32"/>
      <c r="V32"/>
      <c r="W32"/>
      <c r="X32"/>
      <c r="Z32"/>
    </row>
    <row r="33" spans="2:26" ht="16" customHeight="1" outlineLevel="1" x14ac:dyDescent="0.25">
      <c r="B33" s="15">
        <f>IF( Table2[[#This Row],[target_lang]] = "noted", 1, 0)</f>
        <v>0</v>
      </c>
      <c r="C33" s="15">
        <f xml:space="preserve"> IF( Table2[[#This Row],[target_lang]] = "notedoc", 1, 0)</f>
        <v>1</v>
      </c>
      <c r="D33" s="18" t="s">
        <v>192</v>
      </c>
      <c r="E33" s="18" t="str">
        <f>IF( Table2[[#This Row],[label]] = "", "", IF( Table2[[#This Row],[origin]] = "notedoc",  Table2[[#This Row],[origin]],  "noted"))</f>
        <v>notedoc</v>
      </c>
      <c r="F33" s="26" t="s">
        <v>114</v>
      </c>
      <c r="G33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g_tag_doc_oo_feeling_ok</v>
      </c>
      <c r="H33" s="27" t="s">
        <v>172</v>
      </c>
      <c r="I33" s="28" t="s">
        <v>124</v>
      </c>
      <c r="J33" s="26" t="s">
        <v>256</v>
      </c>
      <c r="K33" s="30"/>
      <c r="L33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storage.type.class.${1:/downcase}._tag.doc.oo._feeling.ok.text.notedoc</v>
      </c>
      <c r="M33" s="16" t="str">
        <f>"" &amp;  IF(Table2[[#This Row],[hasUnsafeRegex]] = 0, Table2[[#This Row],[regexTermInput]], "(?:" &amp; Table2[[#This Row],[regexTermInput]] &amp; ")")</f>
        <v>INTERFACES?</v>
      </c>
      <c r="N33" s="19">
        <f>IF( IFERROR( FIND("$", Table2[[#This Row],[unsafeRegexGuess]]), 0) &lt;=0, 0, 1)</f>
        <v>0</v>
      </c>
      <c r="O33" s="19">
        <f>IF( IFERROR( FIND("$", Table2[[#This Row],[anyRegexGuess]]), 0) &lt;=0, 0, 1)</f>
        <v>1</v>
      </c>
      <c r="P33" s="21" t="str">
        <f>SUBSTITUTE( SUBSTITUTE( SUBSTITUTE(SUBSTITUTE(Table2[[#This Row],[unsafeRegexGuess]], ")", "$"), "*", "$"), "+", "$"), "?", "$")</f>
        <v>INTERFACES$</v>
      </c>
      <c r="Q33" s="21" t="str">
        <f xml:space="preserve"> SUBSTITUTE( SUBSTITUTE( SUBSTITUTE(Table2[[#This Row],[regexTermInput]], "(", "$"), "|", "$"), "^", "$")</f>
        <v>INTERFACES?</v>
      </c>
      <c r="R33"/>
      <c r="S33"/>
      <c r="T33"/>
      <c r="U33"/>
      <c r="V33"/>
      <c r="W33"/>
      <c r="X33"/>
      <c r="Z33"/>
    </row>
    <row r="34" spans="2:26" ht="16" customHeight="1" outlineLevel="1" x14ac:dyDescent="0.25">
      <c r="B34" s="15">
        <f>IF( Table2[[#This Row],[target_lang]] = "noted", 1, 0)</f>
        <v>0</v>
      </c>
      <c r="C34" s="15">
        <f xml:space="preserve"> IF( Table2[[#This Row],[target_lang]] = "notedoc", 1, 0)</f>
        <v>1</v>
      </c>
      <c r="D34" s="18" t="s">
        <v>192</v>
      </c>
      <c r="E34" s="18" t="str">
        <f>IF( Table2[[#This Row],[label]] = "", "", IF( Table2[[#This Row],[origin]] = "notedoc",  Table2[[#This Row],[origin]],  "noted"))</f>
        <v>notedoc</v>
      </c>
      <c r="F34" s="26" t="s">
        <v>114</v>
      </c>
      <c r="G34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g_tag_doc_oo_feeling_ok</v>
      </c>
      <c r="H34" s="27" t="s">
        <v>173</v>
      </c>
      <c r="I34" s="28" t="s">
        <v>126</v>
      </c>
      <c r="J34" s="26" t="s">
        <v>256</v>
      </c>
      <c r="K34" s="30"/>
      <c r="L34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storage.type.class.${1:/downcase}._tag.doc.oo._feeling.ok.text.notedoc</v>
      </c>
      <c r="M34" s="16" t="str">
        <f>"" &amp;  IF(Table2[[#This Row],[hasUnsafeRegex]] = 0, Table2[[#This Row],[regexTermInput]], "(?:" &amp; Table2[[#This Row],[regexTermInput]] &amp; ")")</f>
        <v>OBJECTS?</v>
      </c>
      <c r="N34" s="19">
        <f>IF( IFERROR( FIND("$", Table2[[#This Row],[unsafeRegexGuess]]), 0) &lt;=0, 0, 1)</f>
        <v>0</v>
      </c>
      <c r="O34" s="19">
        <f>IF( IFERROR( FIND("$", Table2[[#This Row],[anyRegexGuess]]), 0) &lt;=0, 0, 1)</f>
        <v>1</v>
      </c>
      <c r="P34" s="21" t="str">
        <f>SUBSTITUTE( SUBSTITUTE( SUBSTITUTE(SUBSTITUTE(Table2[[#This Row],[unsafeRegexGuess]], ")", "$"), "*", "$"), "+", "$"), "?", "$")</f>
        <v>OBJECTS$</v>
      </c>
      <c r="Q34" s="21" t="str">
        <f xml:space="preserve"> SUBSTITUTE( SUBSTITUTE( SUBSTITUTE(Table2[[#This Row],[regexTermInput]], "(", "$"), "|", "$"), "^", "$")</f>
        <v>OBJECTS?</v>
      </c>
      <c r="R34"/>
      <c r="S34"/>
      <c r="T34"/>
      <c r="U34"/>
      <c r="V34"/>
      <c r="W34"/>
      <c r="X34"/>
      <c r="Z34"/>
    </row>
    <row r="35" spans="2:26" ht="16" customHeight="1" outlineLevel="1" x14ac:dyDescent="0.25">
      <c r="B35" s="15">
        <f>IF( Table2[[#This Row],[target_lang]] = "noted", 1, 0)</f>
        <v>0</v>
      </c>
      <c r="C35" s="15">
        <f xml:space="preserve"> IF( Table2[[#This Row],[target_lang]] = "notedoc", 1, 0)</f>
        <v>1</v>
      </c>
      <c r="D35" s="18" t="s">
        <v>192</v>
      </c>
      <c r="E35" s="18" t="str">
        <f>IF( Table2[[#This Row],[label]] = "", "", IF( Table2[[#This Row],[origin]] = "notedoc",  Table2[[#This Row],[origin]],  "noted"))</f>
        <v>notedoc</v>
      </c>
      <c r="F35" s="26" t="s">
        <v>114</v>
      </c>
      <c r="G35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g_tag_doc_oo_feeling_ok</v>
      </c>
      <c r="H35" s="27" t="s">
        <v>174</v>
      </c>
      <c r="I35" s="28" t="s">
        <v>195</v>
      </c>
      <c r="J35" s="26" t="s">
        <v>256</v>
      </c>
      <c r="K35" s="30"/>
      <c r="L35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storage.type.class.${1:/downcase}._tag.doc.oo._feeling.ok.text.notedoc</v>
      </c>
      <c r="M35" s="16" t="str">
        <f>"" &amp;  IF(Table2[[#This Row],[hasUnsafeRegex]] = 0, Table2[[#This Row],[regexTermInput]], "(?:" &amp; Table2[[#This Row],[regexTermInput]] &amp; ")")</f>
        <v>(?:PROPS?|PROPERT(?:Y|IES)?)</v>
      </c>
      <c r="N35" s="19">
        <f>IF( IFERROR( FIND("$", Table2[[#This Row],[unsafeRegexGuess]]), 0) &lt;=0, 0, 1)</f>
        <v>1</v>
      </c>
      <c r="O35" s="19">
        <f>IF( IFERROR( FIND("$", Table2[[#This Row],[anyRegexGuess]]), 0) &lt;=0, 0, 1)</f>
        <v>1</v>
      </c>
      <c r="P35" s="21" t="str">
        <f>SUBSTITUTE( SUBSTITUTE( SUBSTITUTE(SUBSTITUTE(Table2[[#This Row],[unsafeRegexGuess]], ")", "$"), "*", "$"), "+", "$"), "?", "$")</f>
        <v>PROPS$$PROPERT$$:Y$IES$$</v>
      </c>
      <c r="Q35" s="21" t="str">
        <f xml:space="preserve"> SUBSTITUTE( SUBSTITUTE( SUBSTITUTE(Table2[[#This Row],[regexTermInput]], "(", "$"), "|", "$"), "^", "$")</f>
        <v>PROPS?$PROPERT$?:Y$IES)?</v>
      </c>
      <c r="R35"/>
      <c r="S35"/>
      <c r="T35"/>
      <c r="U35"/>
      <c r="V35"/>
      <c r="W35"/>
      <c r="X35"/>
      <c r="Z35"/>
    </row>
    <row r="36" spans="2:26" ht="16" customHeight="1" outlineLevel="1" x14ac:dyDescent="0.25">
      <c r="B36" s="15">
        <f>IF( Table2[[#This Row],[target_lang]] = "noted", 1, 0)</f>
        <v>0</v>
      </c>
      <c r="C36" s="15">
        <f xml:space="preserve"> IF( Table2[[#This Row],[target_lang]] = "notedoc", 1, 0)</f>
        <v>1</v>
      </c>
      <c r="D36" s="18" t="s">
        <v>192</v>
      </c>
      <c r="E36" s="18" t="str">
        <f>IF( Table2[[#This Row],[label]] = "", "", IF( Table2[[#This Row],[origin]] = "notedoc",  Table2[[#This Row],[origin]],  "noted"))</f>
        <v>notedoc</v>
      </c>
      <c r="F36" s="26" t="s">
        <v>114</v>
      </c>
      <c r="G36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g_tag_doc_oo_feeling_ok</v>
      </c>
      <c r="H36" s="27" t="s">
        <v>175</v>
      </c>
      <c r="I36" s="28" t="s">
        <v>125</v>
      </c>
      <c r="J36" s="26" t="s">
        <v>256</v>
      </c>
      <c r="K36" s="30"/>
      <c r="L36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storage.type.class.${1:/downcase}._tag.doc.oo._feeling.ok.text.notedoc</v>
      </c>
      <c r="M36" s="16" t="str">
        <f>"" &amp;  IF(Table2[[#This Row],[hasUnsafeRegex]] = 0, Table2[[#This Row],[regexTermInput]], "(?:" &amp; Table2[[#This Row],[regexTermInput]] &amp; ")")</f>
        <v>ROLES?</v>
      </c>
      <c r="N36" s="19">
        <f>IF( IFERROR( FIND("$", Table2[[#This Row],[unsafeRegexGuess]]), 0) &lt;=0, 0, 1)</f>
        <v>0</v>
      </c>
      <c r="O36" s="19">
        <f>IF( IFERROR( FIND("$", Table2[[#This Row],[anyRegexGuess]]), 0) &lt;=0, 0, 1)</f>
        <v>1</v>
      </c>
      <c r="P36" s="21" t="str">
        <f>SUBSTITUTE( SUBSTITUTE( SUBSTITUTE(SUBSTITUTE(Table2[[#This Row],[unsafeRegexGuess]], ")", "$"), "*", "$"), "+", "$"), "?", "$")</f>
        <v>ROLES$</v>
      </c>
      <c r="Q36" s="21" t="str">
        <f xml:space="preserve"> SUBSTITUTE( SUBSTITUTE( SUBSTITUTE(Table2[[#This Row],[regexTermInput]], "(", "$"), "|", "$"), "^", "$")</f>
        <v>ROLES?</v>
      </c>
      <c r="R36"/>
      <c r="S36"/>
      <c r="T36"/>
      <c r="U36"/>
      <c r="V36"/>
      <c r="W36"/>
      <c r="X36"/>
      <c r="Z36"/>
    </row>
    <row r="37" spans="2:26" ht="16" customHeight="1" outlineLevel="1" x14ac:dyDescent="0.25">
      <c r="B37" s="15">
        <f>IF( Table2[[#This Row],[target_lang]] = "noted", 1, 0)</f>
        <v>0</v>
      </c>
      <c r="C37" s="15">
        <f xml:space="preserve"> IF( Table2[[#This Row],[target_lang]] = "notedoc", 1, 0)</f>
        <v>1</v>
      </c>
      <c r="D37" s="18" t="s">
        <v>192</v>
      </c>
      <c r="E37" s="18" t="str">
        <f>IF( Table2[[#This Row],[label]] = "", "", IF( Table2[[#This Row],[origin]] = "notedoc",  Table2[[#This Row],[origin]],  "noted"))</f>
        <v>notedoc</v>
      </c>
      <c r="F37" s="26" t="s">
        <v>114</v>
      </c>
      <c r="G37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g_tag_doc_oo_feeling_ok</v>
      </c>
      <c r="H37" s="27" t="s">
        <v>176</v>
      </c>
      <c r="I37" s="28" t="s">
        <v>134</v>
      </c>
      <c r="J37" s="26" t="s">
        <v>256</v>
      </c>
      <c r="K37" s="30"/>
      <c r="L37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storage.type.class.${1:/downcase}._tag.doc.oo._feeling.ok.text.notedoc</v>
      </c>
      <c r="M37" s="16" t="str">
        <f>"" &amp;  IF(Table2[[#This Row],[hasUnsafeRegex]] = 0, Table2[[#This Row],[regexTermInput]], "(?:" &amp; Table2[[#This Row],[regexTermInput]] &amp; ")")</f>
        <v>SLOTS?</v>
      </c>
      <c r="N37" s="19">
        <f>IF( IFERROR( FIND("$", Table2[[#This Row],[unsafeRegexGuess]]), 0) &lt;=0, 0, 1)</f>
        <v>0</v>
      </c>
      <c r="O37" s="19">
        <f>IF( IFERROR( FIND("$", Table2[[#This Row],[anyRegexGuess]]), 0) &lt;=0, 0, 1)</f>
        <v>1</v>
      </c>
      <c r="P37" s="21" t="str">
        <f>SUBSTITUTE( SUBSTITUTE( SUBSTITUTE(SUBSTITUTE(Table2[[#This Row],[unsafeRegexGuess]], ")", "$"), "*", "$"), "+", "$"), "?", "$")</f>
        <v>SLOTS$</v>
      </c>
      <c r="Q37" s="21" t="str">
        <f xml:space="preserve"> SUBSTITUTE( SUBSTITUTE( SUBSTITUTE(Table2[[#This Row],[regexTermInput]], "(", "$"), "|", "$"), "^", "$")</f>
        <v>SLOTS?</v>
      </c>
      <c r="R37"/>
      <c r="S37"/>
      <c r="T37"/>
      <c r="U37"/>
      <c r="V37"/>
      <c r="W37"/>
      <c r="X37"/>
      <c r="Z37"/>
    </row>
    <row r="38" spans="2:26" ht="16" customHeight="1" outlineLevel="2" x14ac:dyDescent="0.25">
      <c r="B38" s="33">
        <f>IF( Table2[[#This Row],[target_lang]] = "noted", 1, 0)</f>
        <v>0</v>
      </c>
      <c r="C38" s="33">
        <f xml:space="preserve"> IF( Table2[[#This Row],[target_lang]] = "notedoc", 1, 0)</f>
        <v>1</v>
      </c>
      <c r="D38" s="18" t="s">
        <v>192</v>
      </c>
      <c r="E38" s="18" t="s">
        <v>192</v>
      </c>
      <c r="F38" s="26" t="s">
        <v>266</v>
      </c>
      <c r="G38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/>
      </c>
      <c r="H38" s="27"/>
      <c r="I38" s="28"/>
      <c r="J38" s="26"/>
      <c r="K38" s="34"/>
      <c r="L38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M38" s="35" t="str">
        <f>"" &amp;  IF(Table2[[#This Row],[hasUnsafeRegex]] = 0, Table2[[#This Row],[regexTermInput]], "(?:" &amp; Table2[[#This Row],[regexTermInput]] &amp; ")")</f>
        <v/>
      </c>
      <c r="N38" s="36">
        <f>IF( IFERROR( FIND("$", Table2[[#This Row],[unsafeRegexGuess]]), 0) &lt;=0, 0, 1)</f>
        <v>0</v>
      </c>
      <c r="O38" s="36">
        <f>IF( IFERROR( FIND("$", Table2[[#This Row],[anyRegexGuess]]), 0) &lt;=0, 0, 1)</f>
        <v>0</v>
      </c>
      <c r="P38" s="37" t="str">
        <f>SUBSTITUTE( SUBSTITUTE( SUBSTITUTE(SUBSTITUTE(Table2[[#This Row],[unsafeRegexGuess]], ")", "$"), "*", "$"), "+", "$"), "?", "$")</f>
        <v/>
      </c>
      <c r="Q38" s="37" t="str">
        <f xml:space="preserve"> SUBSTITUTE( SUBSTITUTE( SUBSTITUTE(Table2[[#This Row],[regexTermInput]], "(", "$"), "|", "$"), "^", "$")</f>
        <v/>
      </c>
      <c r="R38"/>
      <c r="S38"/>
      <c r="T38"/>
      <c r="U38"/>
      <c r="V38"/>
      <c r="W38"/>
      <c r="X38"/>
      <c r="Z38"/>
    </row>
    <row r="39" spans="2:26" ht="16" customHeight="1" outlineLevel="2" x14ac:dyDescent="0.25">
      <c r="B39" s="33">
        <f>IF( Table2[[#This Row],[target_lang]] = "noted", 1, 0)</f>
        <v>0</v>
      </c>
      <c r="C39" s="33">
        <f xml:space="preserve"> IF( Table2[[#This Row],[target_lang]] = "notedoc", 1, 0)</f>
        <v>1</v>
      </c>
      <c r="D39" s="18" t="s">
        <v>192</v>
      </c>
      <c r="E39" s="18" t="s">
        <v>192</v>
      </c>
      <c r="F39" s="26" t="s">
        <v>266</v>
      </c>
      <c r="G39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g_tag_doc_prg_feeling_ok</v>
      </c>
      <c r="H39" s="27" t="s">
        <v>219</v>
      </c>
      <c r="I39" s="28" t="s">
        <v>220</v>
      </c>
      <c r="J39" s="26" t="s">
        <v>256</v>
      </c>
      <c r="K39" s="34"/>
      <c r="L39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storage.type.class.${1:/downcase}._tag.doc.prg._feeling.ok.text.notedoc</v>
      </c>
      <c r="M39" s="35" t="str">
        <f>"" &amp;  IF(Table2[[#This Row],[hasUnsafeRegex]] = 0, Table2[[#This Row],[regexTermInput]], "(?:" &amp; Table2[[#This Row],[regexTermInput]] &amp; ")")</f>
        <v>(?:BINS?|BINAR(?:Y|IES))</v>
      </c>
      <c r="N39" s="36">
        <f>IF( IFERROR( FIND("$", Table2[[#This Row],[unsafeRegexGuess]]), 0) &lt;=0, 0, 1)</f>
        <v>1</v>
      </c>
      <c r="O39" s="36">
        <f>IF( IFERROR( FIND("$", Table2[[#This Row],[anyRegexGuess]]), 0) &lt;=0, 0, 1)</f>
        <v>1</v>
      </c>
      <c r="P39" s="37" t="str">
        <f>SUBSTITUTE( SUBSTITUTE( SUBSTITUTE(SUBSTITUTE(Table2[[#This Row],[unsafeRegexGuess]], ")", "$"), "*", "$"), "+", "$"), "?", "$")</f>
        <v>BINS$$BINAR$$:Y$IES$</v>
      </c>
      <c r="Q39" s="37" t="str">
        <f xml:space="preserve"> SUBSTITUTE( SUBSTITUTE( SUBSTITUTE(Table2[[#This Row],[regexTermInput]], "(", "$"), "|", "$"), "^", "$")</f>
        <v>BINS?$BINAR$?:Y$IES)</v>
      </c>
      <c r="R39"/>
      <c r="S39"/>
      <c r="T39"/>
      <c r="U39"/>
      <c r="V39"/>
      <c r="W39"/>
      <c r="X39"/>
      <c r="Z39"/>
    </row>
    <row r="40" spans="2:26" ht="16" customHeight="1" outlineLevel="2" x14ac:dyDescent="0.25">
      <c r="B40" s="33">
        <f>IF( Table2[[#This Row],[target_lang]] = "noted", 1, 0)</f>
        <v>0</v>
      </c>
      <c r="C40" s="33">
        <f xml:space="preserve"> IF( Table2[[#This Row],[target_lang]] = "notedoc", 1, 0)</f>
        <v>1</v>
      </c>
      <c r="D40" s="18" t="s">
        <v>192</v>
      </c>
      <c r="E40" s="18" t="s">
        <v>192</v>
      </c>
      <c r="F40" s="26" t="s">
        <v>266</v>
      </c>
      <c r="G40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g_tag_doc_prg_feeling_ok</v>
      </c>
      <c r="H40" s="27" t="s">
        <v>223</v>
      </c>
      <c r="I40" s="28" t="str">
        <f>Table2[[#This Row],[label]]</f>
        <v>CLI</v>
      </c>
      <c r="J40" s="26" t="s">
        <v>256</v>
      </c>
      <c r="K40" s="34"/>
      <c r="L40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storage.type.class.${1:/downcase}._tag.doc.prg._feeling.ok.text.notedoc</v>
      </c>
      <c r="M40" s="35" t="str">
        <f>"" &amp;  IF(Table2[[#This Row],[hasUnsafeRegex]] = 0, Table2[[#This Row],[regexTermInput]], "(?:" &amp; Table2[[#This Row],[regexTermInput]] &amp; ")")</f>
        <v>CLI</v>
      </c>
      <c r="N40" s="36">
        <f>IF( IFERROR( FIND("$", Table2[[#This Row],[unsafeRegexGuess]]), 0) &lt;=0, 0, 1)</f>
        <v>0</v>
      </c>
      <c r="O40" s="36">
        <f>IF( IFERROR( FIND("$", Table2[[#This Row],[anyRegexGuess]]), 0) &lt;=0, 0, 1)</f>
        <v>0</v>
      </c>
      <c r="P40" s="37" t="str">
        <f>SUBSTITUTE( SUBSTITUTE( SUBSTITUTE(SUBSTITUTE(Table2[[#This Row],[unsafeRegexGuess]], ")", "$"), "*", "$"), "+", "$"), "?", "$")</f>
        <v>CLI</v>
      </c>
      <c r="Q40" s="37" t="str">
        <f xml:space="preserve"> SUBSTITUTE( SUBSTITUTE( SUBSTITUTE(Table2[[#This Row],[regexTermInput]], "(", "$"), "|", "$"), "^", "$")</f>
        <v>CLI</v>
      </c>
      <c r="R40"/>
      <c r="S40"/>
      <c r="T40"/>
      <c r="U40"/>
      <c r="V40"/>
      <c r="W40"/>
      <c r="X40"/>
      <c r="Z40"/>
    </row>
    <row r="41" spans="2:26" ht="16" customHeight="1" outlineLevel="2" x14ac:dyDescent="0.25">
      <c r="B41" s="33">
        <f>IF( Table2[[#This Row],[target_lang]] = "noted", 1, 0)</f>
        <v>0</v>
      </c>
      <c r="C41" s="33">
        <f xml:space="preserve"> IF( Table2[[#This Row],[target_lang]] = "notedoc", 1, 0)</f>
        <v>1</v>
      </c>
      <c r="D41" s="18" t="s">
        <v>192</v>
      </c>
      <c r="E41" s="18" t="s">
        <v>192</v>
      </c>
      <c r="F41" s="26" t="s">
        <v>266</v>
      </c>
      <c r="G41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g_tag_doc_prg_feeling_ok</v>
      </c>
      <c r="H41" s="27" t="s">
        <v>221</v>
      </c>
      <c r="I41" s="28" t="s">
        <v>222</v>
      </c>
      <c r="J41" s="26" t="s">
        <v>256</v>
      </c>
      <c r="K41" s="34"/>
      <c r="L41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storage.type.class.${1:/downcase}._tag.doc.prg._feeling.ok.text.notedoc</v>
      </c>
      <c r="M41" s="35" t="str">
        <f>"" &amp;  IF(Table2[[#This Row],[hasUnsafeRegex]] = 0, Table2[[#This Row],[regexTermInput]], "(?:" &amp; Table2[[#This Row],[regexTermInput]] &amp; ")")</f>
        <v>(?:CMDS?|COMMANDS?)</v>
      </c>
      <c r="N41" s="36">
        <f>IF( IFERROR( FIND("$", Table2[[#This Row],[unsafeRegexGuess]]), 0) &lt;=0, 0, 1)</f>
        <v>1</v>
      </c>
      <c r="O41" s="36">
        <f>IF( IFERROR( FIND("$", Table2[[#This Row],[anyRegexGuess]]), 0) &lt;=0, 0, 1)</f>
        <v>1</v>
      </c>
      <c r="P41" s="37" t="str">
        <f>SUBSTITUTE( SUBSTITUTE( SUBSTITUTE(SUBSTITUTE(Table2[[#This Row],[unsafeRegexGuess]], ")", "$"), "*", "$"), "+", "$"), "?", "$")</f>
        <v>CMDS$$COMMANDS$</v>
      </c>
      <c r="Q41" s="37" t="str">
        <f xml:space="preserve"> SUBSTITUTE( SUBSTITUTE( SUBSTITUTE(Table2[[#This Row],[regexTermInput]], "(", "$"), "|", "$"), "^", "$")</f>
        <v>CMDS?$COMMANDS?</v>
      </c>
      <c r="R41"/>
      <c r="S41"/>
      <c r="T41"/>
      <c r="U41"/>
      <c r="V41"/>
      <c r="W41"/>
      <c r="X41"/>
      <c r="Z41"/>
    </row>
    <row r="42" spans="2:26" ht="16" customHeight="1" outlineLevel="2" x14ac:dyDescent="0.25">
      <c r="B42" s="33">
        <f>IF( Table2[[#This Row],[target_lang]] = "noted", 1, 0)</f>
        <v>0</v>
      </c>
      <c r="C42" s="33">
        <f xml:space="preserve"> IF( Table2[[#This Row],[target_lang]] = "notedoc", 1, 0)</f>
        <v>1</v>
      </c>
      <c r="D42" s="18" t="s">
        <v>192</v>
      </c>
      <c r="E42" s="18" t="s">
        <v>192</v>
      </c>
      <c r="F42" s="26" t="s">
        <v>266</v>
      </c>
      <c r="G42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g_tag_doc_prg_feeling_ok</v>
      </c>
      <c r="H42" s="27" t="s">
        <v>216</v>
      </c>
      <c r="I42" s="28" t="s">
        <v>217</v>
      </c>
      <c r="J42" s="26" t="s">
        <v>256</v>
      </c>
      <c r="K42" s="34"/>
      <c r="L42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storage.type.class.${1:/downcase}._tag.doc.prg._feeling.ok.text.notedoc</v>
      </c>
      <c r="M42" s="35" t="str">
        <f>"" &amp;  IF(Table2[[#This Row],[hasUnsafeRegex]] = 0, Table2[[#This Row],[regexTermInput]], "(?:" &amp; Table2[[#This Row],[regexTermInput]] &amp; ")")</f>
        <v>(?:EXE(?:CUTABLE)S?)</v>
      </c>
      <c r="N42" s="36">
        <f>IF( IFERROR( FIND("$", Table2[[#This Row],[unsafeRegexGuess]]), 0) &lt;=0, 0, 1)</f>
        <v>1</v>
      </c>
      <c r="O42" s="36">
        <f>IF( IFERROR( FIND("$", Table2[[#This Row],[anyRegexGuess]]), 0) &lt;=0, 0, 1)</f>
        <v>1</v>
      </c>
      <c r="P42" s="37" t="str">
        <f>SUBSTITUTE( SUBSTITUTE( SUBSTITUTE(SUBSTITUTE(Table2[[#This Row],[unsafeRegexGuess]], ")", "$"), "*", "$"), "+", "$"), "?", "$")</f>
        <v>EXE$$:CUTABLE$S$</v>
      </c>
      <c r="Q42" s="37" t="str">
        <f xml:space="preserve"> SUBSTITUTE( SUBSTITUTE( SUBSTITUTE(Table2[[#This Row],[regexTermInput]], "(", "$"), "|", "$"), "^", "$")</f>
        <v>EXE$?:CUTABLE)S?</v>
      </c>
      <c r="R42"/>
      <c r="S42"/>
      <c r="T42"/>
      <c r="U42"/>
      <c r="V42"/>
      <c r="W42"/>
      <c r="X42"/>
      <c r="Z42"/>
    </row>
    <row r="43" spans="2:26" ht="16" customHeight="1" outlineLevel="2" x14ac:dyDescent="0.25">
      <c r="B43" s="33">
        <f>IF( Table2[[#This Row],[target_lang]] = "noted", 1, 0)</f>
        <v>0</v>
      </c>
      <c r="C43" s="33">
        <f xml:space="preserve"> IF( Table2[[#This Row],[target_lang]] = "notedoc", 1, 0)</f>
        <v>1</v>
      </c>
      <c r="D43" s="18" t="s">
        <v>192</v>
      </c>
      <c r="E43" s="18" t="s">
        <v>192</v>
      </c>
      <c r="F43" s="26" t="s">
        <v>266</v>
      </c>
      <c r="G43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g_tag_doc_prg_feeling_ok</v>
      </c>
      <c r="H43" s="27" t="s">
        <v>214</v>
      </c>
      <c r="I43" s="28" t="str">
        <f>Table2[[#This Row],[label]]</f>
        <v>MAIN</v>
      </c>
      <c r="J43" s="26" t="s">
        <v>256</v>
      </c>
      <c r="K43" s="34"/>
      <c r="L43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storage.type.class.${1:/downcase}._tag.doc.prg._feeling.ok.text.notedoc</v>
      </c>
      <c r="M43" s="35" t="str">
        <f>"" &amp;  IF(Table2[[#This Row],[hasUnsafeRegex]] = 0, Table2[[#This Row],[regexTermInput]], "(?:" &amp; Table2[[#This Row],[regexTermInput]] &amp; ")")</f>
        <v>MAIN</v>
      </c>
      <c r="N43" s="36">
        <f>IF( IFERROR( FIND("$", Table2[[#This Row],[unsafeRegexGuess]]), 0) &lt;=0, 0, 1)</f>
        <v>0</v>
      </c>
      <c r="O43" s="36">
        <f>IF( IFERROR( FIND("$", Table2[[#This Row],[anyRegexGuess]]), 0) &lt;=0, 0, 1)</f>
        <v>0</v>
      </c>
      <c r="P43" s="37" t="str">
        <f>SUBSTITUTE( SUBSTITUTE( SUBSTITUTE(SUBSTITUTE(Table2[[#This Row],[unsafeRegexGuess]], ")", "$"), "*", "$"), "+", "$"), "?", "$")</f>
        <v>MAIN</v>
      </c>
      <c r="Q43" s="37" t="str">
        <f xml:space="preserve"> SUBSTITUTE( SUBSTITUTE( SUBSTITUTE(Table2[[#This Row],[regexTermInput]], "(", "$"), "|", "$"), "^", "$")</f>
        <v>MAIN</v>
      </c>
      <c r="R43"/>
      <c r="S43"/>
      <c r="T43"/>
      <c r="U43"/>
      <c r="V43"/>
      <c r="W43"/>
      <c r="X43"/>
      <c r="Z43"/>
    </row>
    <row r="44" spans="2:26" ht="16" customHeight="1" outlineLevel="2" x14ac:dyDescent="0.25">
      <c r="B44" s="33">
        <f>IF( Table2[[#This Row],[target_lang]] = "noted", 1, 0)</f>
        <v>0</v>
      </c>
      <c r="C44" s="33">
        <f xml:space="preserve"> IF( Table2[[#This Row],[target_lang]] = "notedoc", 1, 0)</f>
        <v>1</v>
      </c>
      <c r="D44" s="18" t="s">
        <v>192</v>
      </c>
      <c r="E44" s="18" t="s">
        <v>192</v>
      </c>
      <c r="F44" s="26" t="s">
        <v>266</v>
      </c>
      <c r="G44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g_tag_doc_prg_feeling_ok</v>
      </c>
      <c r="H44" s="27" t="s">
        <v>212</v>
      </c>
      <c r="I44" s="28" t="s">
        <v>213</v>
      </c>
      <c r="J44" s="26" t="s">
        <v>256</v>
      </c>
      <c r="K44" s="34"/>
      <c r="L44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storage.type.class.${1:/downcase}._tag.doc.prg._feeling.ok.text.notedoc</v>
      </c>
      <c r="M44" s="35" t="str">
        <f>"" &amp;  IF(Table2[[#This Row],[hasUnsafeRegex]] = 0, Table2[[#This Row],[regexTermInput]], "(?:" &amp; Table2[[#This Row],[regexTermInput]] &amp; ")")</f>
        <v>(?:PRGS?|PROG(?:RAMM?E?)S?)</v>
      </c>
      <c r="N44" s="36">
        <f>IF( IFERROR( FIND("$", Table2[[#This Row],[unsafeRegexGuess]]), 0) &lt;=0, 0, 1)</f>
        <v>1</v>
      </c>
      <c r="O44" s="36">
        <f>IF( IFERROR( FIND("$", Table2[[#This Row],[anyRegexGuess]]), 0) &lt;=0, 0, 1)</f>
        <v>1</v>
      </c>
      <c r="P44" s="37" t="str">
        <f>SUBSTITUTE( SUBSTITUTE( SUBSTITUTE(SUBSTITUTE(Table2[[#This Row],[unsafeRegexGuess]], ")", "$"), "*", "$"), "+", "$"), "?", "$")</f>
        <v>PRGS$$PROG$$:RAMM$E$$S$</v>
      </c>
      <c r="Q44" s="37" t="str">
        <f xml:space="preserve"> SUBSTITUTE( SUBSTITUTE( SUBSTITUTE(Table2[[#This Row],[regexTermInput]], "(", "$"), "|", "$"), "^", "$")</f>
        <v>PRGS?$PROG$?:RAMM?E?)S?</v>
      </c>
      <c r="R44"/>
      <c r="S44"/>
      <c r="T44"/>
      <c r="U44"/>
      <c r="V44"/>
      <c r="W44"/>
      <c r="X44"/>
      <c r="Z44"/>
    </row>
    <row r="45" spans="2:26" ht="16" customHeight="1" outlineLevel="2" x14ac:dyDescent="0.25">
      <c r="B45" s="33">
        <f>IF( Table2[[#This Row],[target_lang]] = "noted", 1, 0)</f>
        <v>0</v>
      </c>
      <c r="C45" s="33">
        <f xml:space="preserve"> IF( Table2[[#This Row],[target_lang]] = "notedoc", 1, 0)</f>
        <v>1</v>
      </c>
      <c r="D45" s="18" t="s">
        <v>192</v>
      </c>
      <c r="E45" s="18" t="s">
        <v>192</v>
      </c>
      <c r="F45" s="26" t="s">
        <v>266</v>
      </c>
      <c r="G45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g_tag_doc_prg_feeling_ok</v>
      </c>
      <c r="H45" s="27" t="s">
        <v>215</v>
      </c>
      <c r="I45" s="28" t="s">
        <v>218</v>
      </c>
      <c r="J45" s="26" t="s">
        <v>256</v>
      </c>
      <c r="K45" s="34"/>
      <c r="L45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storage.type.class.${1:/downcase}._tag.doc.prg._feeling.ok.text.notedoc</v>
      </c>
      <c r="M45" s="35" t="str">
        <f>"" &amp;  IF(Table2[[#This Row],[hasUnsafeRegex]] = 0, Table2[[#This Row],[regexTermInput]], "(?:" &amp; Table2[[#This Row],[regexTermInput]] &amp; ")")</f>
        <v>SCRIPTS?</v>
      </c>
      <c r="N45" s="36">
        <f>IF( IFERROR( FIND("$", Table2[[#This Row],[unsafeRegexGuess]]), 0) &lt;=0, 0, 1)</f>
        <v>0</v>
      </c>
      <c r="O45" s="36">
        <f>IF( IFERROR( FIND("$", Table2[[#This Row],[anyRegexGuess]]), 0) &lt;=0, 0, 1)</f>
        <v>1</v>
      </c>
      <c r="P45" s="37" t="str">
        <f>SUBSTITUTE( SUBSTITUTE( SUBSTITUTE(SUBSTITUTE(Table2[[#This Row],[unsafeRegexGuess]], ")", "$"), "*", "$"), "+", "$"), "?", "$")</f>
        <v>SCRIPTS$</v>
      </c>
      <c r="Q45" s="37" t="str">
        <f xml:space="preserve"> SUBSTITUTE( SUBSTITUTE( SUBSTITUTE(Table2[[#This Row],[regexTermInput]], "(", "$"), "|", "$"), "^", "$")</f>
        <v>SCRIPTS?</v>
      </c>
      <c r="R45"/>
      <c r="S45"/>
      <c r="T45"/>
      <c r="U45"/>
      <c r="V45"/>
      <c r="W45"/>
      <c r="X45"/>
      <c r="Z45"/>
    </row>
    <row r="46" spans="2:26" ht="16" customHeight="1" x14ac:dyDescent="0.25">
      <c r="B46" s="15">
        <f>IF( Table2[[#This Row],[target_lang]] = "noted", 1, 0)</f>
        <v>0</v>
      </c>
      <c r="C46" s="15">
        <f xml:space="preserve"> IF( Table2[[#This Row],[target_lang]] = "notedoc", 1, 0)</f>
        <v>0</v>
      </c>
      <c r="D46" s="18" t="s">
        <v>192</v>
      </c>
      <c r="E46" s="18" t="str">
        <f>IF( Table2[[#This Row],[label]] = "", "", IF( Table2[[#This Row],[origin]] = "notedoc",  Table2[[#This Row],[origin]],  "noted"))</f>
        <v/>
      </c>
      <c r="F46" s="26" t="s">
        <v>258</v>
      </c>
      <c r="G46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/>
      </c>
      <c r="H46" s="27"/>
      <c r="I46" s="28"/>
      <c r="J46" s="26"/>
      <c r="K46" s="30"/>
      <c r="L46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M46" s="16" t="str">
        <f>"" &amp;  IF(Table2[[#This Row],[hasUnsafeRegex]] = 0, Table2[[#This Row],[regexTermInput]], "(?:" &amp; Table2[[#This Row],[regexTermInput]] &amp; ")")</f>
        <v/>
      </c>
      <c r="N46" s="19">
        <f>IF( IFERROR( FIND("$", Table2[[#This Row],[unsafeRegexGuess]]), 0) &lt;=0, 0, 1)</f>
        <v>0</v>
      </c>
      <c r="O46" s="19">
        <f>IF( IFERROR( FIND("$", Table2[[#This Row],[anyRegexGuess]]), 0) &lt;=0, 0, 1)</f>
        <v>0</v>
      </c>
      <c r="P46" s="21" t="str">
        <f>SUBSTITUTE( SUBSTITUTE( SUBSTITUTE(SUBSTITUTE(Table2[[#This Row],[unsafeRegexGuess]], ")", "$"), "*", "$"), "+", "$"), "?", "$")</f>
        <v/>
      </c>
      <c r="Q46" s="21" t="str">
        <f xml:space="preserve"> SUBSTITUTE( SUBSTITUTE( SUBSTITUTE(Table2[[#This Row],[regexTermInput]], "(", "$"), "|", "$"), "^", "$")</f>
        <v/>
      </c>
      <c r="R46"/>
      <c r="S46"/>
      <c r="T46"/>
      <c r="U46"/>
      <c r="V46"/>
      <c r="W46"/>
      <c r="X46"/>
      <c r="Z46"/>
    </row>
    <row r="47" spans="2:26" ht="16" customHeight="1" x14ac:dyDescent="0.25">
      <c r="B47" s="15">
        <f>IF( Table2[[#This Row],[target_lang]] = "noted", 1, 0)</f>
        <v>0</v>
      </c>
      <c r="C47" s="15">
        <f xml:space="preserve"> IF( Table2[[#This Row],[target_lang]] = "notedoc", 1, 0)</f>
        <v>1</v>
      </c>
      <c r="D47" s="18" t="s">
        <v>192</v>
      </c>
      <c r="E47" s="18" t="str">
        <f>IF( Table2[[#This Row],[label]] = "", "", IF( Table2[[#This Row],[origin]] = "notedoc",  Table2[[#This Row],[origin]],  "noted"))</f>
        <v>notedoc</v>
      </c>
      <c r="F47" s="26" t="s">
        <v>258</v>
      </c>
      <c r="G47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g_tag_doc_sub_feeling_ok</v>
      </c>
      <c r="H47" s="27" t="s">
        <v>179</v>
      </c>
      <c r="I47" s="28" t="s">
        <v>177</v>
      </c>
      <c r="J47" s="26" t="s">
        <v>256</v>
      </c>
      <c r="K47" s="30"/>
      <c r="L47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storage.type.class.${1:/downcase}._tag.doc.sub._feeling.ok.text.notedoc</v>
      </c>
      <c r="M47" s="16" t="str">
        <f>"" &amp;  IF(Table2[[#This Row],[hasUnsafeRegex]] = 0, Table2[[#This Row],[regexTermInput]], "(?:" &amp; Table2[[#This Row],[regexTermInput]] &amp; ")")</f>
        <v>(?:(?:ON |_)?FAIL(?:URE)?)</v>
      </c>
      <c r="N47" s="19">
        <f>IF( IFERROR( FIND("$", Table2[[#This Row],[unsafeRegexGuess]]), 0) &lt;=0, 0, 1)</f>
        <v>1</v>
      </c>
      <c r="O47" s="19">
        <f>IF( IFERROR( FIND("$", Table2[[#This Row],[anyRegexGuess]]), 0) &lt;=0, 0, 1)</f>
        <v>1</v>
      </c>
      <c r="P47" s="21" t="str">
        <f>SUBSTITUTE( SUBSTITUTE( SUBSTITUTE(SUBSTITUTE(Table2[[#This Row],[unsafeRegexGuess]], ")", "$"), "*", "$"), "+", "$"), "?", "$")</f>
        <v>$$:ON $_$$FAIL$$:URE$$</v>
      </c>
      <c r="Q47" s="21" t="str">
        <f xml:space="preserve"> SUBSTITUTE( SUBSTITUTE( SUBSTITUTE(Table2[[#This Row],[regexTermInput]], "(", "$"), "|", "$"), "^", "$")</f>
        <v>$?:ON $_)?FAIL$?:URE)?</v>
      </c>
      <c r="R47"/>
      <c r="S47"/>
      <c r="T47"/>
      <c r="U47"/>
      <c r="V47"/>
      <c r="W47"/>
      <c r="X47"/>
      <c r="Z47"/>
    </row>
    <row r="48" spans="2:26" ht="16" customHeight="1" x14ac:dyDescent="0.25">
      <c r="B48" s="15">
        <f>IF( Table2[[#This Row],[target_lang]] = "noted", 1, 0)</f>
        <v>0</v>
      </c>
      <c r="C48" s="15">
        <f xml:space="preserve"> IF( Table2[[#This Row],[target_lang]] = "notedoc", 1, 0)</f>
        <v>1</v>
      </c>
      <c r="D48" s="18" t="s">
        <v>192</v>
      </c>
      <c r="E48" s="18" t="str">
        <f>IF( Table2[[#This Row],[label]] = "", "", IF( Table2[[#This Row],[origin]] = "notedoc",  Table2[[#This Row],[origin]],  "noted"))</f>
        <v>notedoc</v>
      </c>
      <c r="F48" s="26" t="s">
        <v>258</v>
      </c>
      <c r="G48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g_tag_doc_sub_feeling_ok</v>
      </c>
      <c r="H48" s="27" t="s">
        <v>181</v>
      </c>
      <c r="I48" s="28" t="s">
        <v>109</v>
      </c>
      <c r="J48" s="26" t="s">
        <v>256</v>
      </c>
      <c r="K48" s="31"/>
      <c r="L48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storage.type.class.${1:/downcase}._tag.doc.sub._feeling.ok.text.notedoc</v>
      </c>
      <c r="M48" s="18" t="str">
        <f>"" &amp;  IF(Table2[[#This Row],[hasUnsafeRegex]] = 0, Table2[[#This Row],[regexTermInput]], "(?:" &amp; Table2[[#This Row],[regexTermInput]] &amp; ")")</f>
        <v>(?:ARGS?|ARGUMENTS?)</v>
      </c>
      <c r="N48" s="19">
        <f>IF( IFERROR( FIND("$", Table2[[#This Row],[unsafeRegexGuess]]), 0) &lt;=0, 0, 1)</f>
        <v>1</v>
      </c>
      <c r="O48" s="19">
        <f>IF( IFERROR( FIND("$", Table2[[#This Row],[anyRegexGuess]]), 0) &lt;=0, 0, 1)</f>
        <v>1</v>
      </c>
      <c r="P48" s="21" t="str">
        <f>SUBSTITUTE( SUBSTITUTE( SUBSTITUTE(SUBSTITUTE(Table2[[#This Row],[unsafeRegexGuess]], ")", "$"), "*", "$"), "+", "$"), "?", "$")</f>
        <v>ARGS$$ARGUMENTS$</v>
      </c>
      <c r="Q48" s="21" t="str">
        <f xml:space="preserve"> SUBSTITUTE( SUBSTITUTE( SUBSTITUTE(Table2[[#This Row],[regexTermInput]], "(", "$"), "|", "$"), "^", "$")</f>
        <v>ARGS?$ARGUMENTS?</v>
      </c>
      <c r="R48"/>
      <c r="S48"/>
      <c r="T48"/>
      <c r="U48"/>
      <c r="V48"/>
      <c r="W48"/>
      <c r="X48"/>
      <c r="Z48"/>
    </row>
    <row r="49" spans="2:26" ht="16" customHeight="1" x14ac:dyDescent="0.25">
      <c r="B49" s="33">
        <f>IF( Table2[[#This Row],[target_lang]] = "noted", 1, 0)</f>
        <v>0</v>
      </c>
      <c r="C49" s="33">
        <f xml:space="preserve"> IF( Table2[[#This Row],[target_lang]] = "notedoc", 1, 0)</f>
        <v>1</v>
      </c>
      <c r="D49" s="18" t="s">
        <v>192</v>
      </c>
      <c r="E49" s="18" t="s">
        <v>192</v>
      </c>
      <c r="F49" s="26" t="s">
        <v>258</v>
      </c>
      <c r="G49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g_tag_doc_sub_feeling_ok</v>
      </c>
      <c r="H49" s="27" t="s">
        <v>204</v>
      </c>
      <c r="I49" s="28" t="s">
        <v>205</v>
      </c>
      <c r="J49" s="26" t="s">
        <v>256</v>
      </c>
      <c r="K49" s="34"/>
      <c r="L49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storage.type.class.${1:/downcase}._tag.doc.sub._feeling.ok.text.notedoc</v>
      </c>
      <c r="M49" s="35" t="str">
        <f>"" &amp;  IF(Table2[[#This Row],[hasUnsafeRegex]] = 0, Table2[[#This Row],[regexTermInput]], "(?:" &amp; Table2[[#This Row],[regexTermInput]] &amp; ")")</f>
        <v>(?:FUNC(?:TION)S?)</v>
      </c>
      <c r="N49" s="36">
        <f>IF( IFERROR( FIND("$", Table2[[#This Row],[unsafeRegexGuess]]), 0) &lt;=0, 0, 1)</f>
        <v>1</v>
      </c>
      <c r="O49" s="36">
        <f>IF( IFERROR( FIND("$", Table2[[#This Row],[anyRegexGuess]]), 0) &lt;=0, 0, 1)</f>
        <v>1</v>
      </c>
      <c r="P49" s="37" t="str">
        <f>SUBSTITUTE( SUBSTITUTE( SUBSTITUTE(SUBSTITUTE(Table2[[#This Row],[unsafeRegexGuess]], ")", "$"), "*", "$"), "+", "$"), "?", "$")</f>
        <v>FUNC$$:TION$S$</v>
      </c>
      <c r="Q49" s="37" t="str">
        <f xml:space="preserve"> SUBSTITUTE( SUBSTITUTE( SUBSTITUTE(Table2[[#This Row],[regexTermInput]], "(", "$"), "|", "$"), "^", "$")</f>
        <v>FUNC$?:TION)S?</v>
      </c>
      <c r="R49"/>
      <c r="S49"/>
      <c r="T49"/>
      <c r="U49"/>
      <c r="V49"/>
      <c r="W49"/>
      <c r="X49"/>
      <c r="Z49"/>
    </row>
    <row r="50" spans="2:26" ht="16" customHeight="1" x14ac:dyDescent="0.25">
      <c r="B50" s="33">
        <f>IF( Table2[[#This Row],[target_lang]] = "noted", 1, 0)</f>
        <v>0</v>
      </c>
      <c r="C50" s="33">
        <f xml:space="preserve"> IF( Table2[[#This Row],[target_lang]] = "notedoc", 1, 0)</f>
        <v>1</v>
      </c>
      <c r="D50" s="18" t="s">
        <v>192</v>
      </c>
      <c r="E50" s="18" t="s">
        <v>192</v>
      </c>
      <c r="F50" s="26" t="s">
        <v>258</v>
      </c>
      <c r="G50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g_tag_doc_sub_feeling_ok</v>
      </c>
      <c r="H50" s="27" t="s">
        <v>209</v>
      </c>
      <c r="I50" s="28" t="s">
        <v>206</v>
      </c>
      <c r="J50" s="26" t="s">
        <v>256</v>
      </c>
      <c r="K50" s="34"/>
      <c r="L50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storage.type.class.${1:/downcase}._tag.doc.sub._feeling.ok.text.notedoc</v>
      </c>
      <c r="M50" s="35" t="str">
        <f>"" &amp;  IF(Table2[[#This Row],[hasUnsafeRegex]] = 0, Table2[[#This Row],[regexTermInput]], "(?:" &amp; Table2[[#This Row],[regexTermInput]] &amp; ")")</f>
        <v>METHODS?</v>
      </c>
      <c r="N50" s="36">
        <f>IF( IFERROR( FIND("$", Table2[[#This Row],[unsafeRegexGuess]]), 0) &lt;=0, 0, 1)</f>
        <v>0</v>
      </c>
      <c r="O50" s="36">
        <f>IF( IFERROR( FIND("$", Table2[[#This Row],[anyRegexGuess]]), 0) &lt;=0, 0, 1)</f>
        <v>1</v>
      </c>
      <c r="P50" s="37" t="str">
        <f>SUBSTITUTE( SUBSTITUTE( SUBSTITUTE(SUBSTITUTE(Table2[[#This Row],[unsafeRegexGuess]], ")", "$"), "*", "$"), "+", "$"), "?", "$")</f>
        <v>METHODS$</v>
      </c>
      <c r="Q50" s="37" t="str">
        <f xml:space="preserve"> SUBSTITUTE( SUBSTITUTE( SUBSTITUTE(Table2[[#This Row],[regexTermInput]], "(", "$"), "|", "$"), "^", "$")</f>
        <v>METHODS?</v>
      </c>
      <c r="R50"/>
      <c r="S50"/>
      <c r="T50"/>
      <c r="U50"/>
      <c r="V50"/>
      <c r="W50"/>
      <c r="X50"/>
      <c r="Z50"/>
    </row>
    <row r="51" spans="2:26" ht="16" customHeight="1" x14ac:dyDescent="0.25">
      <c r="B51" s="15">
        <f>IF( Table2[[#This Row],[target_lang]] = "noted", 1, 0)</f>
        <v>0</v>
      </c>
      <c r="C51" s="15">
        <f xml:space="preserve"> IF( Table2[[#This Row],[target_lang]] = "notedoc", 1, 0)</f>
        <v>1</v>
      </c>
      <c r="D51" s="18" t="s">
        <v>192</v>
      </c>
      <c r="E51" s="18" t="str">
        <f>IF( Table2[[#This Row],[label]] = "", "", IF( Table2[[#This Row],[origin]] = "notedoc",  Table2[[#This Row],[origin]],  "noted"))</f>
        <v>notedoc</v>
      </c>
      <c r="F51" s="26" t="s">
        <v>258</v>
      </c>
      <c r="G51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g_tag_doc_sub_feeling_ok</v>
      </c>
      <c r="H51" s="27" t="s">
        <v>180</v>
      </c>
      <c r="I51" s="28" t="s">
        <v>178</v>
      </c>
      <c r="J51" s="26" t="s">
        <v>256</v>
      </c>
      <c r="K51" s="30"/>
      <c r="L51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storage.type.class.${1:/downcase}._tag.doc.sub._feeling.ok.text.notedoc</v>
      </c>
      <c r="M51" s="16" t="str">
        <f>"" &amp;  IF(Table2[[#This Row],[hasUnsafeRegex]] = 0, Table2[[#This Row],[regexTermInput]], "(?:" &amp; Table2[[#This Row],[regexTermInput]] &amp; ")")</f>
        <v>(?:(?:ON |_)?SUCCESS)</v>
      </c>
      <c r="N51" s="19">
        <f>IF( IFERROR( FIND("$", Table2[[#This Row],[unsafeRegexGuess]]), 0) &lt;=0, 0, 1)</f>
        <v>1</v>
      </c>
      <c r="O51" s="19">
        <f>IF( IFERROR( FIND("$", Table2[[#This Row],[anyRegexGuess]]), 0) &lt;=0, 0, 1)</f>
        <v>1</v>
      </c>
      <c r="P51" s="21" t="str">
        <f>SUBSTITUTE( SUBSTITUTE( SUBSTITUTE(SUBSTITUTE(Table2[[#This Row],[unsafeRegexGuess]], ")", "$"), "*", "$"), "+", "$"), "?", "$")</f>
        <v>$$:ON $_$$SUCCESS</v>
      </c>
      <c r="Q51" s="21" t="str">
        <f xml:space="preserve"> SUBSTITUTE( SUBSTITUTE( SUBSTITUTE(Table2[[#This Row],[regexTermInput]], "(", "$"), "|", "$"), "^", "$")</f>
        <v>$?:ON $_)?SUCCESS</v>
      </c>
      <c r="R51"/>
      <c r="S51"/>
      <c r="T51"/>
      <c r="U51"/>
      <c r="V51"/>
      <c r="W51"/>
      <c r="X51"/>
      <c r="Z51"/>
    </row>
    <row r="52" spans="2:26" ht="16" customHeight="1" x14ac:dyDescent="0.25">
      <c r="B52" s="15">
        <f>IF( Table2[[#This Row],[target_lang]] = "noted", 1, 0)</f>
        <v>0</v>
      </c>
      <c r="C52" s="15">
        <f xml:space="preserve"> IF( Table2[[#This Row],[target_lang]] = "notedoc", 1, 0)</f>
        <v>1</v>
      </c>
      <c r="D52" s="18" t="s">
        <v>192</v>
      </c>
      <c r="E52" s="18" t="str">
        <f>IF( Table2[[#This Row],[label]] = "", "", IF( Table2[[#This Row],[origin]] = "notedoc",  Table2[[#This Row],[origin]],  "noted"))</f>
        <v>notedoc</v>
      </c>
      <c r="F52" s="26" t="s">
        <v>258</v>
      </c>
      <c r="G52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g_tag_doc_sub_feeling_ok</v>
      </c>
      <c r="H52" s="27" t="s">
        <v>182</v>
      </c>
      <c r="I52" s="28" t="s">
        <v>111</v>
      </c>
      <c r="J52" s="26" t="s">
        <v>256</v>
      </c>
      <c r="K52" s="30"/>
      <c r="L52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storage.type.class.${1:/downcase}._tag.doc.sub._feeling.ok.text.notedoc</v>
      </c>
      <c r="M52" s="16" t="str">
        <f>"" &amp;  IF(Table2[[#This Row],[hasUnsafeRegex]] = 0, Table2[[#This Row],[regexTermInput]], "(?:" &amp; Table2[[#This Row],[regexTermInput]] &amp; ")")</f>
        <v>(?:OPTS?|OPTIONS?)</v>
      </c>
      <c r="N52" s="19">
        <f>IF( IFERROR( FIND("$", Table2[[#This Row],[unsafeRegexGuess]]), 0) &lt;=0, 0, 1)</f>
        <v>1</v>
      </c>
      <c r="O52" s="19">
        <f>IF( IFERROR( FIND("$", Table2[[#This Row],[anyRegexGuess]]), 0) &lt;=0, 0, 1)</f>
        <v>1</v>
      </c>
      <c r="P52" s="21" t="str">
        <f>SUBSTITUTE( SUBSTITUTE( SUBSTITUTE(SUBSTITUTE(Table2[[#This Row],[unsafeRegexGuess]], ")", "$"), "*", "$"), "+", "$"), "?", "$")</f>
        <v>OPTS$$OPTIONS$</v>
      </c>
      <c r="Q52" s="21" t="str">
        <f xml:space="preserve"> SUBSTITUTE( SUBSTITUTE( SUBSTITUTE(Table2[[#This Row],[regexTermInput]], "(", "$"), "|", "$"), "^", "$")</f>
        <v>OPTS?$OPTIONS?</v>
      </c>
      <c r="R52"/>
      <c r="S52"/>
      <c r="T52"/>
      <c r="U52"/>
      <c r="V52"/>
      <c r="W52"/>
      <c r="X52"/>
      <c r="Z52"/>
    </row>
    <row r="53" spans="2:26" ht="16" customHeight="1" x14ac:dyDescent="0.25">
      <c r="B53" s="15">
        <f>IF( Table2[[#This Row],[target_lang]] = "noted", 1, 0)</f>
        <v>0</v>
      </c>
      <c r="C53" s="15">
        <f xml:space="preserve"> IF( Table2[[#This Row],[target_lang]] = "notedoc", 1, 0)</f>
        <v>1</v>
      </c>
      <c r="D53" s="18" t="s">
        <v>192</v>
      </c>
      <c r="E53" s="18" t="str">
        <f>IF( Table2[[#This Row],[label]] = "", "", IF( Table2[[#This Row],[origin]] = "notedoc",  Table2[[#This Row],[origin]],  "noted"))</f>
        <v>notedoc</v>
      </c>
      <c r="F53" s="26" t="s">
        <v>258</v>
      </c>
      <c r="G53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g_tag_doc_sub_feeling_ok</v>
      </c>
      <c r="H53" s="27" t="s">
        <v>183</v>
      </c>
      <c r="I53" s="28" t="s">
        <v>110</v>
      </c>
      <c r="J53" s="26" t="s">
        <v>256</v>
      </c>
      <c r="K53" s="30"/>
      <c r="L53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storage.type.class.${1:/downcase}._tag.doc.sub._feeling.ok.text.notedoc</v>
      </c>
      <c r="M53" s="16" t="str">
        <f>"" &amp;  IF(Table2[[#This Row],[hasUnsafeRegex]] = 0, Table2[[#This Row],[regexTermInput]], "(?:" &amp; Table2[[#This Row],[regexTermInput]] &amp; ")")</f>
        <v>(?:PARAMS?|PARAMETERS?)</v>
      </c>
      <c r="N53" s="19">
        <f>IF( IFERROR( FIND("$", Table2[[#This Row],[unsafeRegexGuess]]), 0) &lt;=0, 0, 1)</f>
        <v>1</v>
      </c>
      <c r="O53" s="19">
        <f>IF( IFERROR( FIND("$", Table2[[#This Row],[anyRegexGuess]]), 0) &lt;=0, 0, 1)</f>
        <v>1</v>
      </c>
      <c r="P53" s="21" t="str">
        <f>SUBSTITUTE( SUBSTITUTE( SUBSTITUTE(SUBSTITUTE(Table2[[#This Row],[unsafeRegexGuess]], ")", "$"), "*", "$"), "+", "$"), "?", "$")</f>
        <v>PARAMS$$PARAMETERS$</v>
      </c>
      <c r="Q53" s="21" t="str">
        <f xml:space="preserve"> SUBSTITUTE( SUBSTITUTE( SUBSTITUTE(Table2[[#This Row],[regexTermInput]], "(", "$"), "|", "$"), "^", "$")</f>
        <v>PARAMS?$PARAMETERS?</v>
      </c>
      <c r="R53"/>
      <c r="S53"/>
      <c r="T53"/>
      <c r="U53"/>
      <c r="V53"/>
      <c r="W53"/>
      <c r="X53"/>
      <c r="Z53"/>
    </row>
    <row r="54" spans="2:26" ht="16" customHeight="1" x14ac:dyDescent="0.25">
      <c r="B54" s="33">
        <f>IF( Table2[[#This Row],[target_lang]] = "noted", 1, 0)</f>
        <v>0</v>
      </c>
      <c r="C54" s="33">
        <f xml:space="preserve"> IF( Table2[[#This Row],[target_lang]] = "notedoc", 1, 0)</f>
        <v>1</v>
      </c>
      <c r="D54" s="18" t="s">
        <v>192</v>
      </c>
      <c r="E54" s="18" t="s">
        <v>192</v>
      </c>
      <c r="F54" s="26" t="s">
        <v>258</v>
      </c>
      <c r="G54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g_tag_doc_sub_feeling_ok</v>
      </c>
      <c r="H54" s="27" t="s">
        <v>211</v>
      </c>
      <c r="I54" s="28" t="s">
        <v>208</v>
      </c>
      <c r="J54" s="26" t="s">
        <v>256</v>
      </c>
      <c r="K54" s="34"/>
      <c r="L54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storage.type.class.${1:/downcase}._tag.doc.sub._feeling.ok.text.notedoc</v>
      </c>
      <c r="M54" s="35" t="str">
        <f>"" &amp;  IF(Table2[[#This Row],[hasUnsafeRegex]] = 0, Table2[[#This Row],[regexTermInput]], "(?:" &amp; Table2[[#This Row],[regexTermInput]] &amp; ")")</f>
        <v>(?:PROC(?:EDURE)S?)</v>
      </c>
      <c r="N54" s="36">
        <f>IF( IFERROR( FIND("$", Table2[[#This Row],[unsafeRegexGuess]]), 0) &lt;=0, 0, 1)</f>
        <v>1</v>
      </c>
      <c r="O54" s="36">
        <f>IF( IFERROR( FIND("$", Table2[[#This Row],[anyRegexGuess]]), 0) &lt;=0, 0, 1)</f>
        <v>1</v>
      </c>
      <c r="P54" s="37" t="str">
        <f>SUBSTITUTE( SUBSTITUTE( SUBSTITUTE(SUBSTITUTE(Table2[[#This Row],[unsafeRegexGuess]], ")", "$"), "*", "$"), "+", "$"), "?", "$")</f>
        <v>PROC$$:EDURE$S$</v>
      </c>
      <c r="Q54" s="37" t="str">
        <f xml:space="preserve"> SUBSTITUTE( SUBSTITUTE( SUBSTITUTE(Table2[[#This Row],[regexTermInput]], "(", "$"), "|", "$"), "^", "$")</f>
        <v>PROC$?:EDURE)S?</v>
      </c>
      <c r="R54"/>
      <c r="S54"/>
      <c r="T54"/>
      <c r="U54"/>
      <c r="V54"/>
      <c r="W54"/>
      <c r="X54"/>
      <c r="Z54"/>
    </row>
    <row r="55" spans="2:26" ht="16" customHeight="1" x14ac:dyDescent="0.25">
      <c r="B55" s="15">
        <f>IF( Table2[[#This Row],[target_lang]] = "noted", 1, 0)</f>
        <v>0</v>
      </c>
      <c r="C55" s="15">
        <f xml:space="preserve"> IF( Table2[[#This Row],[target_lang]] = "notedoc", 1, 0)</f>
        <v>1</v>
      </c>
      <c r="D55" s="18" t="s">
        <v>192</v>
      </c>
      <c r="E55" s="18" t="str">
        <f>IF( Table2[[#This Row],[label]] = "", "", IF( Table2[[#This Row],[origin]] = "notedoc",  Table2[[#This Row],[origin]],  "noted"))</f>
        <v>notedoc</v>
      </c>
      <c r="F55" s="26" t="s">
        <v>258</v>
      </c>
      <c r="G55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g_tag_doc_sub_feeling_ok</v>
      </c>
      <c r="H55" s="27" t="s">
        <v>184</v>
      </c>
      <c r="I55" s="28" t="s">
        <v>112</v>
      </c>
      <c r="J55" s="26" t="s">
        <v>256</v>
      </c>
      <c r="K55" s="30"/>
      <c r="L55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storage.type.class.${1:/downcase}._tag.doc.sub._feeling.ok.text.notedoc</v>
      </c>
      <c r="M55" s="16" t="str">
        <f>"" &amp;  IF(Table2[[#This Row],[hasUnsafeRegex]] = 0, Table2[[#This Row],[regexTermInput]], "(?:" &amp; Table2[[#This Row],[regexTermInput]] &amp; ")")</f>
        <v>RETURNS?</v>
      </c>
      <c r="N55" s="19">
        <f>IF( IFERROR( FIND("$", Table2[[#This Row],[unsafeRegexGuess]]), 0) &lt;=0, 0, 1)</f>
        <v>0</v>
      </c>
      <c r="O55" s="19">
        <f>IF( IFERROR( FIND("$", Table2[[#This Row],[anyRegexGuess]]), 0) &lt;=0, 0, 1)</f>
        <v>1</v>
      </c>
      <c r="P55" s="21" t="str">
        <f>SUBSTITUTE( SUBSTITUTE( SUBSTITUTE(SUBSTITUTE(Table2[[#This Row],[unsafeRegexGuess]], ")", "$"), "*", "$"), "+", "$"), "?", "$")</f>
        <v>RETURNS$</v>
      </c>
      <c r="Q55" s="21" t="str">
        <f xml:space="preserve"> SUBSTITUTE( SUBSTITUTE( SUBSTITUTE(Table2[[#This Row],[regexTermInput]], "(", "$"), "|", "$"), "^", "$")</f>
        <v>RETURNS?</v>
      </c>
      <c r="R55"/>
      <c r="S55"/>
      <c r="T55"/>
      <c r="U55"/>
      <c r="V55"/>
      <c r="W55"/>
      <c r="X55"/>
      <c r="Z55"/>
    </row>
    <row r="56" spans="2:26" ht="16" customHeight="1" x14ac:dyDescent="0.25">
      <c r="B56" s="33">
        <f>IF( Table2[[#This Row],[target_lang]] = "noted", 1, 0)</f>
        <v>0</v>
      </c>
      <c r="C56" s="33">
        <f xml:space="preserve"> IF( Table2[[#This Row],[target_lang]] = "notedoc", 1, 0)</f>
        <v>1</v>
      </c>
      <c r="D56" s="18" t="s">
        <v>192</v>
      </c>
      <c r="E56" s="18" t="s">
        <v>192</v>
      </c>
      <c r="F56" s="26" t="s">
        <v>258</v>
      </c>
      <c r="G56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g_tag_doc_sub_feeling_ok</v>
      </c>
      <c r="H56" s="27" t="s">
        <v>210</v>
      </c>
      <c r="I56" s="28" t="s">
        <v>207</v>
      </c>
      <c r="J56" s="26" t="s">
        <v>256</v>
      </c>
      <c r="K56" s="34"/>
      <c r="L56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storage.type.class.${1:/downcase}._tag.doc.sub._feeling.ok.text.notedoc</v>
      </c>
      <c r="M56" s="35" t="str">
        <f>"" &amp;  IF(Table2[[#This Row],[hasUnsafeRegex]] = 0, Table2[[#This Row],[regexTermInput]], "(?:" &amp; Table2[[#This Row],[regexTermInput]] &amp; ")")</f>
        <v>(?:(?:SUB)ROUTINES?)</v>
      </c>
      <c r="N56" s="36">
        <f>IF( IFERROR( FIND("$", Table2[[#This Row],[unsafeRegexGuess]]), 0) &lt;=0, 0, 1)</f>
        <v>1</v>
      </c>
      <c r="O56" s="36">
        <f>IF( IFERROR( FIND("$", Table2[[#This Row],[anyRegexGuess]]), 0) &lt;=0, 0, 1)</f>
        <v>1</v>
      </c>
      <c r="P56" s="37" t="str">
        <f>SUBSTITUTE( SUBSTITUTE( SUBSTITUTE(SUBSTITUTE(Table2[[#This Row],[unsafeRegexGuess]], ")", "$"), "*", "$"), "+", "$"), "?", "$")</f>
        <v>$$:SUB$ROUTINES$</v>
      </c>
      <c r="Q56" s="37" t="str">
        <f xml:space="preserve"> SUBSTITUTE( SUBSTITUTE( SUBSTITUTE(Table2[[#This Row],[regexTermInput]], "(", "$"), "|", "$"), "^", "$")</f>
        <v>$?:SUB)ROUTINES?</v>
      </c>
      <c r="R56"/>
      <c r="S56"/>
      <c r="T56"/>
      <c r="U56"/>
      <c r="V56"/>
      <c r="W56"/>
      <c r="X56"/>
      <c r="Z56"/>
    </row>
    <row r="57" spans="2:26" ht="16" customHeight="1" x14ac:dyDescent="0.25">
      <c r="B57" s="15">
        <f>IF( Table2[[#This Row],[target_lang]] = "noted", 1, 0)</f>
        <v>0</v>
      </c>
      <c r="C57" s="15">
        <f xml:space="preserve"> IF( Table2[[#This Row],[target_lang]] = "notedoc", 1, 0)</f>
        <v>1</v>
      </c>
      <c r="D57" s="18" t="s">
        <v>192</v>
      </c>
      <c r="E57" s="18" t="str">
        <f>IF( Table2[[#This Row],[label]] = "", "", IF( Table2[[#This Row],[origin]] = "notedoc",  Table2[[#This Row],[origin]],  "noted"))</f>
        <v>notedoc</v>
      </c>
      <c r="F57" s="26" t="s">
        <v>258</v>
      </c>
      <c r="G57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g_tag_doc_sub_feeling_ok</v>
      </c>
      <c r="H57" s="27" t="s">
        <v>191</v>
      </c>
      <c r="I57" s="28" t="str">
        <f>Table2[[#This Row],[label]]</f>
        <v>SWITCHES</v>
      </c>
      <c r="J57" s="26" t="s">
        <v>256</v>
      </c>
      <c r="K57" s="30"/>
      <c r="L57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storage.type.class.${1:/downcase}._tag.doc.sub._feeling.ok.text.notedoc</v>
      </c>
      <c r="M57" s="16" t="str">
        <f>"" &amp;  IF(Table2[[#This Row],[hasUnsafeRegex]] = 0, Table2[[#This Row],[regexTermInput]], "(?:" &amp; Table2[[#This Row],[regexTermInput]] &amp; ")")</f>
        <v>SWITCHES</v>
      </c>
      <c r="N57" s="19">
        <f>IF( IFERROR( FIND("$", Table2[[#This Row],[unsafeRegexGuess]]), 0) &lt;=0, 0, 1)</f>
        <v>0</v>
      </c>
      <c r="O57" s="19">
        <f>IF( IFERROR( FIND("$", Table2[[#This Row],[anyRegexGuess]]), 0) &lt;=0, 0, 1)</f>
        <v>0</v>
      </c>
      <c r="P57" s="21" t="str">
        <f>SUBSTITUTE( SUBSTITUTE( SUBSTITUTE(SUBSTITUTE(Table2[[#This Row],[unsafeRegexGuess]], ")", "$"), "*", "$"), "+", "$"), "?", "$")</f>
        <v>SWITCHES</v>
      </c>
      <c r="Q57" s="21" t="str">
        <f xml:space="preserve"> SUBSTITUTE( SUBSTITUTE( SUBSTITUTE(Table2[[#This Row],[regexTermInput]], "(", "$"), "|", "$"), "^", "$")</f>
        <v>SWITCHES</v>
      </c>
      <c r="R57"/>
      <c r="S57"/>
      <c r="T57"/>
      <c r="U57"/>
      <c r="V57"/>
      <c r="W57"/>
      <c r="X57"/>
      <c r="Z57"/>
    </row>
    <row r="58" spans="2:26" ht="16" customHeight="1" x14ac:dyDescent="0.25">
      <c r="B58" s="33">
        <f>IF( Table2[[#This Row],[target_lang]] = "noted", 1, 0)</f>
        <v>0</v>
      </c>
      <c r="C58" s="33">
        <f xml:space="preserve"> IF( Table2[[#This Row],[target_lang]] = "notedoc", 1, 0)</f>
        <v>1</v>
      </c>
      <c r="D58" s="18" t="s">
        <v>192</v>
      </c>
      <c r="E58" s="18" t="s">
        <v>192</v>
      </c>
      <c r="F58" s="26" t="s">
        <v>267</v>
      </c>
      <c r="G58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/>
      </c>
      <c r="H58" s="27"/>
      <c r="I58" s="28"/>
      <c r="J58" s="26"/>
      <c r="K58" s="34"/>
      <c r="L58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M58" s="35" t="str">
        <f>"" &amp;  IF(Table2[[#This Row],[hasUnsafeRegex]] = 0, Table2[[#This Row],[regexTermInput]], "(?:" &amp; Table2[[#This Row],[regexTermInput]] &amp; ")")</f>
        <v/>
      </c>
      <c r="N58" s="36">
        <f>IF( IFERROR( FIND("$", Table2[[#This Row],[unsafeRegexGuess]]), 0) &lt;=0, 0, 1)</f>
        <v>0</v>
      </c>
      <c r="O58" s="36">
        <f>IF( IFERROR( FIND("$", Table2[[#This Row],[anyRegexGuess]]), 0) &lt;=0, 0, 1)</f>
        <v>0</v>
      </c>
      <c r="P58" s="37" t="str">
        <f>SUBSTITUTE( SUBSTITUTE( SUBSTITUTE(SUBSTITUTE(Table2[[#This Row],[unsafeRegexGuess]], ")", "$"), "*", "$"), "+", "$"), "?", "$")</f>
        <v/>
      </c>
      <c r="Q58" s="37" t="str">
        <f xml:space="preserve"> SUBSTITUTE( SUBSTITUTE( SUBSTITUTE(Table2[[#This Row],[regexTermInput]], "(", "$"), "|", "$"), "^", "$")</f>
        <v/>
      </c>
      <c r="R58"/>
      <c r="S58"/>
      <c r="T58"/>
      <c r="U58"/>
      <c r="V58"/>
      <c r="W58"/>
      <c r="X58"/>
      <c r="Z58"/>
    </row>
    <row r="59" spans="2:26" ht="16" customHeight="1" x14ac:dyDescent="0.25">
      <c r="B59" s="33">
        <f>IF( Table2[[#This Row],[target_lang]] = "noted", 1, 0)</f>
        <v>0</v>
      </c>
      <c r="C59" s="33">
        <f xml:space="preserve"> IF( Table2[[#This Row],[target_lang]] = "notedoc", 1, 0)</f>
        <v>1</v>
      </c>
      <c r="D59" s="18" t="s">
        <v>192</v>
      </c>
      <c r="E59" s="18" t="s">
        <v>192</v>
      </c>
      <c r="F59" s="26" t="s">
        <v>267</v>
      </c>
      <c r="G59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g_tag_doc_sys_feeling_ok</v>
      </c>
      <c r="H59" s="27" t="s">
        <v>234</v>
      </c>
      <c r="I59" s="28" t="str">
        <f>Table2[[#This Row],[label]]</f>
        <v>ANDROID</v>
      </c>
      <c r="J59" s="26" t="s">
        <v>256</v>
      </c>
      <c r="K59" s="34"/>
      <c r="L59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storage.type.class.${1:/downcase}._tag.doc.sys._feeling.ok.text.notedoc</v>
      </c>
      <c r="M59" s="35" t="str">
        <f>"" &amp;  IF(Table2[[#This Row],[hasUnsafeRegex]] = 0, Table2[[#This Row],[regexTermInput]], "(?:" &amp; Table2[[#This Row],[regexTermInput]] &amp; ")")</f>
        <v>ANDROID</v>
      </c>
      <c r="N59" s="36">
        <f>IF( IFERROR( FIND("$", Table2[[#This Row],[unsafeRegexGuess]]), 0) &lt;=0, 0, 1)</f>
        <v>0</v>
      </c>
      <c r="O59" s="36">
        <f>IF( IFERROR( FIND("$", Table2[[#This Row],[anyRegexGuess]]), 0) &lt;=0, 0, 1)</f>
        <v>0</v>
      </c>
      <c r="P59" s="37" t="str">
        <f>SUBSTITUTE( SUBSTITUTE( SUBSTITUTE(SUBSTITUTE(Table2[[#This Row],[unsafeRegexGuess]], ")", "$"), "*", "$"), "+", "$"), "?", "$")</f>
        <v>ANDROID</v>
      </c>
      <c r="Q59" s="37" t="str">
        <f xml:space="preserve"> SUBSTITUTE( SUBSTITUTE( SUBSTITUTE(Table2[[#This Row],[regexTermInput]], "(", "$"), "|", "$"), "^", "$")</f>
        <v>ANDROID</v>
      </c>
      <c r="R59"/>
      <c r="S59"/>
      <c r="T59"/>
      <c r="U59"/>
      <c r="V59"/>
      <c r="W59"/>
      <c r="X59"/>
      <c r="Z59"/>
    </row>
    <row r="60" spans="2:26" ht="16" customHeight="1" x14ac:dyDescent="0.25">
      <c r="B60" s="33">
        <f>IF( Table2[[#This Row],[target_lang]] = "noted", 1, 0)</f>
        <v>0</v>
      </c>
      <c r="C60" s="33">
        <f xml:space="preserve"> IF( Table2[[#This Row],[target_lang]] = "notedoc", 1, 0)</f>
        <v>1</v>
      </c>
      <c r="D60" s="18" t="s">
        <v>192</v>
      </c>
      <c r="E60" s="18" t="s">
        <v>192</v>
      </c>
      <c r="F60" s="26" t="s">
        <v>267</v>
      </c>
      <c r="G60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g_tag_doc_sys_feeling_ok</v>
      </c>
      <c r="H60" s="27" t="s">
        <v>233</v>
      </c>
      <c r="I60" s="28" t="str">
        <f>Table2[[#This Row],[label]]</f>
        <v>DOS</v>
      </c>
      <c r="J60" s="26" t="s">
        <v>256</v>
      </c>
      <c r="K60" s="34"/>
      <c r="L60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storage.type.class.${1:/downcase}._tag.doc.sys._feeling.ok.text.notedoc</v>
      </c>
      <c r="M60" s="35" t="str">
        <f>"" &amp;  IF(Table2[[#This Row],[hasUnsafeRegex]] = 0, Table2[[#This Row],[regexTermInput]], "(?:" &amp; Table2[[#This Row],[regexTermInput]] &amp; ")")</f>
        <v>DOS</v>
      </c>
      <c r="N60" s="36">
        <f>IF( IFERROR( FIND("$", Table2[[#This Row],[unsafeRegexGuess]]), 0) &lt;=0, 0, 1)</f>
        <v>0</v>
      </c>
      <c r="O60" s="36">
        <f>IF( IFERROR( FIND("$", Table2[[#This Row],[anyRegexGuess]]), 0) &lt;=0, 0, 1)</f>
        <v>0</v>
      </c>
      <c r="P60" s="37" t="str">
        <f>SUBSTITUTE( SUBSTITUTE( SUBSTITUTE(SUBSTITUTE(Table2[[#This Row],[unsafeRegexGuess]], ")", "$"), "*", "$"), "+", "$"), "?", "$")</f>
        <v>DOS</v>
      </c>
      <c r="Q60" s="37" t="str">
        <f xml:space="preserve"> SUBSTITUTE( SUBSTITUTE( SUBSTITUTE(Table2[[#This Row],[regexTermInput]], "(", "$"), "|", "$"), "^", "$")</f>
        <v>DOS</v>
      </c>
      <c r="R60"/>
      <c r="S60"/>
      <c r="T60"/>
      <c r="U60"/>
      <c r="V60"/>
      <c r="W60"/>
      <c r="X60"/>
      <c r="Z60"/>
    </row>
    <row r="61" spans="2:26" ht="16" customHeight="1" x14ac:dyDescent="0.25">
      <c r="B61" s="33">
        <f>IF( Table2[[#This Row],[target_lang]] = "noted", 1, 0)</f>
        <v>0</v>
      </c>
      <c r="C61" s="33">
        <f xml:space="preserve"> IF( Table2[[#This Row],[target_lang]] = "notedoc", 1, 0)</f>
        <v>1</v>
      </c>
      <c r="D61" s="18" t="s">
        <v>192</v>
      </c>
      <c r="E61" s="18" t="s">
        <v>192</v>
      </c>
      <c r="F61" s="26" t="s">
        <v>267</v>
      </c>
      <c r="G61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g_tag_doc_sys_feeling_ok</v>
      </c>
      <c r="H61" s="27" t="s">
        <v>235</v>
      </c>
      <c r="I61" s="28" t="str">
        <f>Table2[[#This Row],[label]]</f>
        <v>IOS</v>
      </c>
      <c r="J61" s="26" t="s">
        <v>256</v>
      </c>
      <c r="K61" s="34"/>
      <c r="L61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storage.type.class.${1:/downcase}._tag.doc.sys._feeling.ok.text.notedoc</v>
      </c>
      <c r="M61" s="35" t="str">
        <f>"" &amp;  IF(Table2[[#This Row],[hasUnsafeRegex]] = 0, Table2[[#This Row],[regexTermInput]], "(?:" &amp; Table2[[#This Row],[regexTermInput]] &amp; ")")</f>
        <v>IOS</v>
      </c>
      <c r="N61" s="36">
        <f>IF( IFERROR( FIND("$", Table2[[#This Row],[unsafeRegexGuess]]), 0) &lt;=0, 0, 1)</f>
        <v>0</v>
      </c>
      <c r="O61" s="36">
        <f>IF( IFERROR( FIND("$", Table2[[#This Row],[anyRegexGuess]]), 0) &lt;=0, 0, 1)</f>
        <v>0</v>
      </c>
      <c r="P61" s="37" t="str">
        <f>SUBSTITUTE( SUBSTITUTE( SUBSTITUTE(SUBSTITUTE(Table2[[#This Row],[unsafeRegexGuess]], ")", "$"), "*", "$"), "+", "$"), "?", "$")</f>
        <v>IOS</v>
      </c>
      <c r="Q61" s="37" t="str">
        <f xml:space="preserve"> SUBSTITUTE( SUBSTITUTE( SUBSTITUTE(Table2[[#This Row],[regexTermInput]], "(", "$"), "|", "$"), "^", "$")</f>
        <v>IOS</v>
      </c>
      <c r="R61"/>
      <c r="S61"/>
      <c r="T61"/>
      <c r="U61"/>
      <c r="V61"/>
      <c r="W61"/>
      <c r="X61"/>
      <c r="Z61"/>
    </row>
    <row r="62" spans="2:26" ht="16" customHeight="1" x14ac:dyDescent="0.25">
      <c r="B62" s="33">
        <f>IF( Table2[[#This Row],[target_lang]] = "noted", 1, 0)</f>
        <v>0</v>
      </c>
      <c r="C62" s="33">
        <f xml:space="preserve"> IF( Table2[[#This Row],[target_lang]] = "notedoc", 1, 0)</f>
        <v>1</v>
      </c>
      <c r="D62" s="18" t="s">
        <v>192</v>
      </c>
      <c r="E62" s="18" t="s">
        <v>192</v>
      </c>
      <c r="F62" s="26" t="s">
        <v>267</v>
      </c>
      <c r="G62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g_tag_doc_sys_feeling_ok</v>
      </c>
      <c r="H62" s="27" t="s">
        <v>228</v>
      </c>
      <c r="I62" s="28" t="str">
        <f>Table2[[#This Row],[label]]</f>
        <v>LINUX</v>
      </c>
      <c r="J62" s="26" t="s">
        <v>256</v>
      </c>
      <c r="K62" s="34"/>
      <c r="L62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storage.type.class.${1:/downcase}._tag.doc.sys._feeling.ok.text.notedoc</v>
      </c>
      <c r="M62" s="35" t="str">
        <f>"" &amp;  IF(Table2[[#This Row],[hasUnsafeRegex]] = 0, Table2[[#This Row],[regexTermInput]], "(?:" &amp; Table2[[#This Row],[regexTermInput]] &amp; ")")</f>
        <v>LINUX</v>
      </c>
      <c r="N62" s="36">
        <f>IF( IFERROR( FIND("$", Table2[[#This Row],[unsafeRegexGuess]]), 0) &lt;=0, 0, 1)</f>
        <v>0</v>
      </c>
      <c r="O62" s="36">
        <f>IF( IFERROR( FIND("$", Table2[[#This Row],[anyRegexGuess]]), 0) &lt;=0, 0, 1)</f>
        <v>0</v>
      </c>
      <c r="P62" s="37" t="str">
        <f>SUBSTITUTE( SUBSTITUTE( SUBSTITUTE(SUBSTITUTE(Table2[[#This Row],[unsafeRegexGuess]], ")", "$"), "*", "$"), "+", "$"), "?", "$")</f>
        <v>LINUX</v>
      </c>
      <c r="Q62" s="37" t="str">
        <f xml:space="preserve"> SUBSTITUTE( SUBSTITUTE( SUBSTITUTE(Table2[[#This Row],[regexTermInput]], "(", "$"), "|", "$"), "^", "$")</f>
        <v>LINUX</v>
      </c>
      <c r="R62"/>
      <c r="S62"/>
      <c r="T62"/>
      <c r="U62"/>
      <c r="V62"/>
      <c r="W62"/>
      <c r="X62"/>
      <c r="Z62"/>
    </row>
    <row r="63" spans="2:26" ht="16" customHeight="1" x14ac:dyDescent="0.25">
      <c r="B63" s="33">
        <f>IF( Table2[[#This Row],[target_lang]] = "noted", 1, 0)</f>
        <v>0</v>
      </c>
      <c r="C63" s="33">
        <f xml:space="preserve"> IF( Table2[[#This Row],[target_lang]] = "notedoc", 1, 0)</f>
        <v>1</v>
      </c>
      <c r="D63" s="18" t="s">
        <v>192</v>
      </c>
      <c r="E63" s="18" t="s">
        <v>192</v>
      </c>
      <c r="F63" s="26" t="s">
        <v>267</v>
      </c>
      <c r="G63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g_tag_doc_sys_feeling_ok</v>
      </c>
      <c r="H63" s="27" t="s">
        <v>230</v>
      </c>
      <c r="I63" s="28" t="s">
        <v>231</v>
      </c>
      <c r="J63" s="26" t="s">
        <v>256</v>
      </c>
      <c r="K63" s="34"/>
      <c r="L63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storage.type.class.${1:/downcase}._tag.doc.sys._feeling.ok.text.notedoc</v>
      </c>
      <c r="M63" s="35" t="str">
        <f>"" &amp;  IF(Table2[[#This Row],[hasUnsafeRegex]] = 0, Table2[[#This Row],[regexTermInput]], "(?:" &amp; Table2[[#This Row],[regexTermInput]] &amp; ")")</f>
        <v>(?:MACOS|MAC|OS X)</v>
      </c>
      <c r="N63" s="36">
        <f>IF( IFERROR( FIND("$", Table2[[#This Row],[unsafeRegexGuess]]), 0) &lt;=0, 0, 1)</f>
        <v>1</v>
      </c>
      <c r="O63" s="36">
        <f>IF( IFERROR( FIND("$", Table2[[#This Row],[anyRegexGuess]]), 0) &lt;=0, 0, 1)</f>
        <v>1</v>
      </c>
      <c r="P63" s="37" t="str">
        <f>SUBSTITUTE( SUBSTITUTE( SUBSTITUTE(SUBSTITUTE(Table2[[#This Row],[unsafeRegexGuess]], ")", "$"), "*", "$"), "+", "$"), "?", "$")</f>
        <v>MACOS$MAC$OS X</v>
      </c>
      <c r="Q63" s="37" t="str">
        <f xml:space="preserve"> SUBSTITUTE( SUBSTITUTE( SUBSTITUTE(Table2[[#This Row],[regexTermInput]], "(", "$"), "|", "$"), "^", "$")</f>
        <v>MACOS$MAC$OS X</v>
      </c>
      <c r="R63"/>
      <c r="S63"/>
      <c r="T63"/>
      <c r="U63"/>
      <c r="V63"/>
      <c r="W63"/>
      <c r="X63"/>
      <c r="Z63"/>
    </row>
    <row r="64" spans="2:26" ht="16" customHeight="1" x14ac:dyDescent="0.25">
      <c r="B64" s="33">
        <f>IF( Table2[[#This Row],[target_lang]] = "noted", 1, 0)</f>
        <v>0</v>
      </c>
      <c r="C64" s="33">
        <f xml:space="preserve"> IF( Table2[[#This Row],[target_lang]] = "notedoc", 1, 0)</f>
        <v>1</v>
      </c>
      <c r="D64" s="18" t="s">
        <v>192</v>
      </c>
      <c r="E64" s="18" t="s">
        <v>192</v>
      </c>
      <c r="F64" s="26" t="s">
        <v>267</v>
      </c>
      <c r="G64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g_tag_doc_sys_feeling_ok</v>
      </c>
      <c r="H64" s="27" t="s">
        <v>224</v>
      </c>
      <c r="I64" s="28" t="s">
        <v>225</v>
      </c>
      <c r="J64" s="26" t="s">
        <v>256</v>
      </c>
      <c r="K64" s="34"/>
      <c r="L64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storage.type.class.${1:/downcase}._tag.doc.sys._feeling.ok.text.notedoc</v>
      </c>
      <c r="M64" s="35" t="str">
        <f>"" &amp;  IF(Table2[[#This Row],[hasUnsafeRegex]] = 0, Table2[[#This Row],[regexTermInput]], "(?:" &amp; Table2[[#This Row],[regexTermInput]] &amp; ")")</f>
        <v>SHELLS?</v>
      </c>
      <c r="N64" s="36">
        <f>IF( IFERROR( FIND("$", Table2[[#This Row],[unsafeRegexGuess]]), 0) &lt;=0, 0, 1)</f>
        <v>0</v>
      </c>
      <c r="O64" s="36">
        <f>IF( IFERROR( FIND("$", Table2[[#This Row],[anyRegexGuess]]), 0) &lt;=0, 0, 1)</f>
        <v>1</v>
      </c>
      <c r="P64" s="37" t="str">
        <f>SUBSTITUTE( SUBSTITUTE( SUBSTITUTE(SUBSTITUTE(Table2[[#This Row],[unsafeRegexGuess]], ")", "$"), "*", "$"), "+", "$"), "?", "$")</f>
        <v>SHELLS$</v>
      </c>
      <c r="Q64" s="37" t="str">
        <f xml:space="preserve"> SUBSTITUTE( SUBSTITUTE( SUBSTITUTE(Table2[[#This Row],[regexTermInput]], "(", "$"), "|", "$"), "^", "$")</f>
        <v>SHELLS?</v>
      </c>
      <c r="R64"/>
      <c r="S64"/>
      <c r="T64"/>
      <c r="U64"/>
      <c r="V64"/>
      <c r="W64"/>
      <c r="X64"/>
      <c r="Z64"/>
    </row>
    <row r="65" spans="2:26" ht="16" customHeight="1" x14ac:dyDescent="0.25">
      <c r="B65" s="33">
        <f>IF( Table2[[#This Row],[target_lang]] = "noted", 1, 0)</f>
        <v>0</v>
      </c>
      <c r="C65" s="33">
        <f xml:space="preserve"> IF( Table2[[#This Row],[target_lang]] = "notedoc", 1, 0)</f>
        <v>1</v>
      </c>
      <c r="D65" s="18" t="s">
        <v>192</v>
      </c>
      <c r="E65" s="18" t="s">
        <v>192</v>
      </c>
      <c r="F65" s="26" t="s">
        <v>267</v>
      </c>
      <c r="G65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g_tag_doc_sys_feeling_ok</v>
      </c>
      <c r="H65" s="27" t="s">
        <v>226</v>
      </c>
      <c r="I65" s="28" t="s">
        <v>227</v>
      </c>
      <c r="J65" s="26" t="s">
        <v>256</v>
      </c>
      <c r="K65" s="34"/>
      <c r="L65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storage.type.class.${1:/downcase}._tag.doc.sys._feeling.ok.text.notedoc</v>
      </c>
      <c r="M65" s="35" t="str">
        <f>"" &amp;  IF(Table2[[#This Row],[hasUnsafeRegex]] = 0, Table2[[#This Row],[regexTermInput]], "(?:" &amp; Table2[[#This Row],[regexTermInput]] &amp; ")")</f>
        <v>(?:OS|(?:OPERATING )?SYSTEMS?)</v>
      </c>
      <c r="N65" s="36">
        <f>IF( IFERROR( FIND("$", Table2[[#This Row],[unsafeRegexGuess]]), 0) &lt;=0, 0, 1)</f>
        <v>1</v>
      </c>
      <c r="O65" s="36">
        <f>IF( IFERROR( FIND("$", Table2[[#This Row],[anyRegexGuess]]), 0) &lt;=0, 0, 1)</f>
        <v>1</v>
      </c>
      <c r="P65" s="37" t="str">
        <f>SUBSTITUTE( SUBSTITUTE( SUBSTITUTE(SUBSTITUTE(Table2[[#This Row],[unsafeRegexGuess]], ")", "$"), "*", "$"), "+", "$"), "?", "$")</f>
        <v>OS$$$:OPERATING $$SYSTEMS$</v>
      </c>
      <c r="Q65" s="37" t="str">
        <f xml:space="preserve"> SUBSTITUTE( SUBSTITUTE( SUBSTITUTE(Table2[[#This Row],[regexTermInput]], "(", "$"), "|", "$"), "^", "$")</f>
        <v>OS$$?:OPERATING )?SYSTEMS?</v>
      </c>
      <c r="R65"/>
      <c r="S65"/>
      <c r="T65"/>
      <c r="U65"/>
      <c r="V65"/>
      <c r="W65"/>
      <c r="X65"/>
      <c r="Z65"/>
    </row>
    <row r="66" spans="2:26" ht="16" customHeight="1" x14ac:dyDescent="0.25">
      <c r="B66" s="33">
        <f>IF( Table2[[#This Row],[target_lang]] = "noted", 1, 0)</f>
        <v>0</v>
      </c>
      <c r="C66" s="33">
        <f xml:space="preserve"> IF( Table2[[#This Row],[target_lang]] = "notedoc", 1, 0)</f>
        <v>1</v>
      </c>
      <c r="D66" s="18" t="s">
        <v>192</v>
      </c>
      <c r="E66" s="18" t="s">
        <v>192</v>
      </c>
      <c r="F66" s="26" t="s">
        <v>267</v>
      </c>
      <c r="G66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g_tag_doc_sys_feeling_ok</v>
      </c>
      <c r="H66" s="27" t="s">
        <v>229</v>
      </c>
      <c r="I66" s="28" t="str">
        <f>Table2[[#This Row],[label]]</f>
        <v>UNIX</v>
      </c>
      <c r="J66" s="26" t="s">
        <v>256</v>
      </c>
      <c r="K66" s="34"/>
      <c r="L66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storage.type.class.${1:/downcase}._tag.doc.sys._feeling.ok.text.notedoc</v>
      </c>
      <c r="M66" s="35" t="str">
        <f>"" &amp;  IF(Table2[[#This Row],[hasUnsafeRegex]] = 0, Table2[[#This Row],[regexTermInput]], "(?:" &amp; Table2[[#This Row],[regexTermInput]] &amp; ")")</f>
        <v>UNIX</v>
      </c>
      <c r="N66" s="36">
        <f>IF( IFERROR( FIND("$", Table2[[#This Row],[unsafeRegexGuess]]), 0) &lt;=0, 0, 1)</f>
        <v>0</v>
      </c>
      <c r="O66" s="36">
        <f>IF( IFERROR( FIND("$", Table2[[#This Row],[anyRegexGuess]]), 0) &lt;=0, 0, 1)</f>
        <v>0</v>
      </c>
      <c r="P66" s="37" t="str">
        <f>SUBSTITUTE( SUBSTITUTE( SUBSTITUTE(SUBSTITUTE(Table2[[#This Row],[unsafeRegexGuess]], ")", "$"), "*", "$"), "+", "$"), "?", "$")</f>
        <v>UNIX</v>
      </c>
      <c r="Q66" s="37" t="str">
        <f xml:space="preserve"> SUBSTITUTE( SUBSTITUTE( SUBSTITUTE(Table2[[#This Row],[regexTermInput]], "(", "$"), "|", "$"), "^", "$")</f>
        <v>UNIX</v>
      </c>
      <c r="R66"/>
      <c r="S66"/>
      <c r="T66"/>
      <c r="U66"/>
      <c r="V66"/>
      <c r="W66"/>
      <c r="X66"/>
      <c r="Z66"/>
    </row>
    <row r="67" spans="2:26" ht="16" customHeight="1" x14ac:dyDescent="0.25">
      <c r="B67" s="33">
        <f>IF( Table2[[#This Row],[target_lang]] = "noted", 1, 0)</f>
        <v>0</v>
      </c>
      <c r="C67" s="33">
        <f xml:space="preserve"> IF( Table2[[#This Row],[target_lang]] = "notedoc", 1, 0)</f>
        <v>1</v>
      </c>
      <c r="D67" s="18" t="s">
        <v>192</v>
      </c>
      <c r="E67" s="18" t="s">
        <v>192</v>
      </c>
      <c r="F67" s="26" t="s">
        <v>267</v>
      </c>
      <c r="G67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g_tag_doc_sys_feeling_ok</v>
      </c>
      <c r="H67" s="27" t="s">
        <v>232</v>
      </c>
      <c r="I67" s="28" t="str">
        <f>Table2[[#This Row],[label]]</f>
        <v>WINDOWS</v>
      </c>
      <c r="J67" s="26" t="s">
        <v>256</v>
      </c>
      <c r="K67" s="34"/>
      <c r="L67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storage.type.class.${1:/downcase}._tag.doc.sys._feeling.ok.text.notedoc</v>
      </c>
      <c r="M67" s="35" t="str">
        <f>"" &amp;  IF(Table2[[#This Row],[hasUnsafeRegex]] = 0, Table2[[#This Row],[regexTermInput]], "(?:" &amp; Table2[[#This Row],[regexTermInput]] &amp; ")")</f>
        <v>WINDOWS</v>
      </c>
      <c r="N67" s="36">
        <f>IF( IFERROR( FIND("$", Table2[[#This Row],[unsafeRegexGuess]]), 0) &lt;=0, 0, 1)</f>
        <v>0</v>
      </c>
      <c r="O67" s="36">
        <f>IF( IFERROR( FIND("$", Table2[[#This Row],[anyRegexGuess]]), 0) &lt;=0, 0, 1)</f>
        <v>0</v>
      </c>
      <c r="P67" s="37" t="str">
        <f>SUBSTITUTE( SUBSTITUTE( SUBSTITUTE(SUBSTITUTE(Table2[[#This Row],[unsafeRegexGuess]], ")", "$"), "*", "$"), "+", "$"), "?", "$")</f>
        <v>WINDOWS</v>
      </c>
      <c r="Q67" s="37" t="str">
        <f xml:space="preserve"> SUBSTITUTE( SUBSTITUTE( SUBSTITUTE(Table2[[#This Row],[regexTermInput]], "(", "$"), "|", "$"), "^", "$")</f>
        <v>WINDOWS</v>
      </c>
      <c r="R67"/>
      <c r="S67"/>
      <c r="T67"/>
      <c r="U67"/>
      <c r="V67"/>
      <c r="W67"/>
      <c r="X67"/>
      <c r="Z67"/>
    </row>
    <row r="68" spans="2:26" ht="16" customHeight="1" x14ac:dyDescent="0.25">
      <c r="B68" s="15">
        <f>IF( Table2[[#This Row],[target_lang]] = "noted", 1, 0)</f>
        <v>0</v>
      </c>
      <c r="C68" s="15">
        <f xml:space="preserve"> IF( Table2[[#This Row],[target_lang]] = "notedoc", 1, 0)</f>
        <v>0</v>
      </c>
      <c r="D68" s="18" t="s">
        <v>192</v>
      </c>
      <c r="E68" s="18" t="str">
        <f>IF( Table2[[#This Row],[label]] = "", "", IF( Table2[[#This Row],[origin]] = "notedoc",  Table2[[#This Row],[origin]],  "noted"))</f>
        <v/>
      </c>
      <c r="F68" s="26" t="s">
        <v>115</v>
      </c>
      <c r="G68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/>
      </c>
      <c r="H68" s="27"/>
      <c r="I68" s="28"/>
      <c r="J68" s="26"/>
      <c r="K68" s="30"/>
      <c r="L68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M68" s="16" t="str">
        <f>"" &amp;  IF(Table2[[#This Row],[hasUnsafeRegex]] = 0, Table2[[#This Row],[regexTermInput]], "(?:" &amp; Table2[[#This Row],[regexTermInput]] &amp; ")")</f>
        <v/>
      </c>
      <c r="N68" s="19">
        <f>IF( IFERROR( FIND("$", Table2[[#This Row],[unsafeRegexGuess]]), 0) &lt;=0, 0, 1)</f>
        <v>0</v>
      </c>
      <c r="O68" s="19">
        <f>IF( IFERROR( FIND("$", Table2[[#This Row],[anyRegexGuess]]), 0) &lt;=0, 0, 1)</f>
        <v>0</v>
      </c>
      <c r="P68" s="21" t="str">
        <f>SUBSTITUTE( SUBSTITUTE( SUBSTITUTE(SUBSTITUTE(Table2[[#This Row],[unsafeRegexGuess]], ")", "$"), "*", "$"), "+", "$"), "?", "$")</f>
        <v/>
      </c>
      <c r="Q68" s="21" t="str">
        <f xml:space="preserve"> SUBSTITUTE( SUBSTITUTE( SUBSTITUTE(Table2[[#This Row],[regexTermInput]], "(", "$"), "|", "$"), "^", "$")</f>
        <v/>
      </c>
      <c r="R68"/>
      <c r="S68"/>
      <c r="T68"/>
      <c r="U68"/>
      <c r="V68"/>
      <c r="W68"/>
      <c r="X68"/>
      <c r="Z68"/>
    </row>
    <row r="69" spans="2:26" ht="16" customHeight="1" x14ac:dyDescent="0.25">
      <c r="B69" s="15">
        <f>IF( Table2[[#This Row],[target_lang]] = "noted", 1, 0)</f>
        <v>0</v>
      </c>
      <c r="C69" s="15">
        <f xml:space="preserve"> IF( Table2[[#This Row],[target_lang]] = "notedoc", 1, 0)</f>
        <v>1</v>
      </c>
      <c r="D69" s="18" t="s">
        <v>192</v>
      </c>
      <c r="E69" s="18" t="str">
        <f>IF( Table2[[#This Row],[label]] = "", "", IF( Table2[[#This Row],[origin]] = "notedoc",  Table2[[#This Row],[origin]],  "noted"))</f>
        <v>notedoc</v>
      </c>
      <c r="F69" s="26" t="s">
        <v>115</v>
      </c>
      <c r="G69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g_tag_doc_unit_feeling_ok</v>
      </c>
      <c r="H69" s="27" t="s">
        <v>186</v>
      </c>
      <c r="I69" s="28" t="s">
        <v>131</v>
      </c>
      <c r="J69" s="26" t="s">
        <v>256</v>
      </c>
      <c r="K69" s="30"/>
      <c r="L69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storage.type.class.${1:/downcase}._tag.doc.unit._feeling.ok.text.notedoc</v>
      </c>
      <c r="M69" s="16" t="str">
        <f>"" &amp;  IF(Table2[[#This Row],[hasUnsafeRegex]] = 0, Table2[[#This Row],[regexTermInput]], "(?:" &amp; Table2[[#This Row],[regexTermInput]] &amp; ")")</f>
        <v>GEMS?</v>
      </c>
      <c r="N69" s="19">
        <f>IF( IFERROR( FIND("$", Table2[[#This Row],[unsafeRegexGuess]]), 0) &lt;=0, 0, 1)</f>
        <v>0</v>
      </c>
      <c r="O69" s="19">
        <f>IF( IFERROR( FIND("$", Table2[[#This Row],[anyRegexGuess]]), 0) &lt;=0, 0, 1)</f>
        <v>1</v>
      </c>
      <c r="P69" s="21" t="str">
        <f>SUBSTITUTE( SUBSTITUTE( SUBSTITUTE(SUBSTITUTE(Table2[[#This Row],[unsafeRegexGuess]], ")", "$"), "*", "$"), "+", "$"), "?", "$")</f>
        <v>GEMS$</v>
      </c>
      <c r="Q69" s="21" t="str">
        <f xml:space="preserve"> SUBSTITUTE( SUBSTITUTE( SUBSTITUTE(Table2[[#This Row],[regexTermInput]], "(", "$"), "|", "$"), "^", "$")</f>
        <v>GEMS?</v>
      </c>
      <c r="R69"/>
      <c r="S69"/>
      <c r="T69"/>
      <c r="U69"/>
      <c r="V69"/>
      <c r="W69"/>
      <c r="X69"/>
      <c r="Z69"/>
    </row>
    <row r="70" spans="2:26" ht="16" customHeight="1" x14ac:dyDescent="0.25">
      <c r="B70" s="15">
        <f>IF( Table2[[#This Row],[target_lang]] = "noted", 1, 0)</f>
        <v>0</v>
      </c>
      <c r="C70" s="15">
        <f xml:space="preserve"> IF( Table2[[#This Row],[target_lang]] = "notedoc", 1, 0)</f>
        <v>1</v>
      </c>
      <c r="D70" s="18" t="s">
        <v>192</v>
      </c>
      <c r="E70" s="18" t="str">
        <f>IF( Table2[[#This Row],[label]] = "", "", IF( Table2[[#This Row],[origin]] = "notedoc",  Table2[[#This Row],[origin]],  "noted"))</f>
        <v>notedoc</v>
      </c>
      <c r="F70" s="26" t="s">
        <v>115</v>
      </c>
      <c r="G70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g_tag_doc_unit_feeling_ok</v>
      </c>
      <c r="H70" s="27" t="s">
        <v>187</v>
      </c>
      <c r="I70" s="28" t="s">
        <v>196</v>
      </c>
      <c r="J70" s="26" t="s">
        <v>256</v>
      </c>
      <c r="K70" s="30"/>
      <c r="L70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storage.type.class.${1:/downcase}._tag.doc.unit._feeling.ok.text.notedoc</v>
      </c>
      <c r="M70" s="16" t="str">
        <f>"" &amp;  IF(Table2[[#This Row],[hasUnsafeRegex]] = 0, Table2[[#This Row],[regexTermInput]], "(?:" &amp; Table2[[#This Row],[regexTermInput]] &amp; ")")</f>
        <v>(?:LIB(?:RARY)?)</v>
      </c>
      <c r="N70" s="19">
        <f>IF( IFERROR( FIND("$", Table2[[#This Row],[unsafeRegexGuess]]), 0) &lt;=0, 0, 1)</f>
        <v>1</v>
      </c>
      <c r="O70" s="19">
        <f>IF( IFERROR( FIND("$", Table2[[#This Row],[anyRegexGuess]]), 0) &lt;=0, 0, 1)</f>
        <v>1</v>
      </c>
      <c r="P70" s="21" t="str">
        <f>SUBSTITUTE( SUBSTITUTE( SUBSTITUTE(SUBSTITUTE(Table2[[#This Row],[unsafeRegexGuess]], ")", "$"), "*", "$"), "+", "$"), "?", "$")</f>
        <v>LIB$$:RARY$$</v>
      </c>
      <c r="Q70" s="21" t="str">
        <f xml:space="preserve"> SUBSTITUTE( SUBSTITUTE( SUBSTITUTE(Table2[[#This Row],[regexTermInput]], "(", "$"), "|", "$"), "^", "$")</f>
        <v>LIB$?:RARY)?</v>
      </c>
      <c r="R70"/>
      <c r="S70"/>
      <c r="T70"/>
      <c r="U70"/>
      <c r="V70"/>
      <c r="W70"/>
      <c r="X70"/>
      <c r="Z70"/>
    </row>
    <row r="71" spans="2:26" ht="16" customHeight="1" x14ac:dyDescent="0.25">
      <c r="B71" s="15">
        <f>IF( Table2[[#This Row],[target_lang]] = "noted", 1, 0)</f>
        <v>0</v>
      </c>
      <c r="C71" s="15">
        <f xml:space="preserve"> IF( Table2[[#This Row],[target_lang]] = "notedoc", 1, 0)</f>
        <v>1</v>
      </c>
      <c r="D71" s="18" t="s">
        <v>192</v>
      </c>
      <c r="E71" s="18" t="str">
        <f>IF( Table2[[#This Row],[label]] = "", "", IF( Table2[[#This Row],[origin]] = "notedoc",  Table2[[#This Row],[origin]],  "noted"))</f>
        <v>notedoc</v>
      </c>
      <c r="F71" s="26" t="s">
        <v>115</v>
      </c>
      <c r="G71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g_tag_doc_unit_feeling_ok</v>
      </c>
      <c r="H71" s="27" t="s">
        <v>188</v>
      </c>
      <c r="I71" s="28" t="s">
        <v>130</v>
      </c>
      <c r="J71" s="26" t="s">
        <v>256</v>
      </c>
      <c r="K71" s="31"/>
      <c r="L71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storage.type.class.${1:/downcase}._tag.doc.unit._feeling.ok.text.notedoc</v>
      </c>
      <c r="M71" s="18" t="str">
        <f>"" &amp;  IF(Table2[[#This Row],[hasUnsafeRegex]] = 0, Table2[[#This Row],[regexTermInput]], "(?:" &amp; Table2[[#This Row],[regexTermInput]] &amp; ")")</f>
        <v>MODULES?</v>
      </c>
      <c r="N71" s="19">
        <f>IF( IFERROR( FIND("$", Table2[[#This Row],[unsafeRegexGuess]]), 0) &lt;=0, 0, 1)</f>
        <v>0</v>
      </c>
      <c r="O71" s="19">
        <f>IF( IFERROR( FIND("$", Table2[[#This Row],[anyRegexGuess]]), 0) &lt;=0, 0, 1)</f>
        <v>1</v>
      </c>
      <c r="P71" s="21" t="str">
        <f>SUBSTITUTE( SUBSTITUTE( SUBSTITUTE(SUBSTITUTE(Table2[[#This Row],[unsafeRegexGuess]], ")", "$"), "*", "$"), "+", "$"), "?", "$")</f>
        <v>MODULES$</v>
      </c>
      <c r="Q71" s="21" t="str">
        <f xml:space="preserve"> SUBSTITUTE( SUBSTITUTE( SUBSTITUTE(Table2[[#This Row],[regexTermInput]], "(", "$"), "|", "$"), "^", "$")</f>
        <v>MODULES?</v>
      </c>
      <c r="R71"/>
      <c r="S71"/>
      <c r="T71"/>
      <c r="U71"/>
      <c r="V71"/>
      <c r="W71"/>
      <c r="X71"/>
      <c r="Z71"/>
    </row>
    <row r="72" spans="2:26" ht="16" customHeight="1" x14ac:dyDescent="0.25">
      <c r="B72" s="15">
        <f>IF( Table2[[#This Row],[target_lang]] = "noted", 1, 0)</f>
        <v>0</v>
      </c>
      <c r="C72" s="15">
        <f xml:space="preserve"> IF( Table2[[#This Row],[target_lang]] = "notedoc", 1, 0)</f>
        <v>1</v>
      </c>
      <c r="D72" s="18" t="s">
        <v>192</v>
      </c>
      <c r="E72" s="18" t="str">
        <f>IF( Table2[[#This Row],[label]] = "", "", IF( Table2[[#This Row],[origin]] = "notedoc",  Table2[[#This Row],[origin]],  "noted"))</f>
        <v>notedoc</v>
      </c>
      <c r="F72" s="26" t="s">
        <v>115</v>
      </c>
      <c r="G72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g_tag_doc_unit_feeling_ok</v>
      </c>
      <c r="H72" s="27" t="s">
        <v>189</v>
      </c>
      <c r="I72" s="28" t="s">
        <v>156</v>
      </c>
      <c r="J72" s="26" t="s">
        <v>256</v>
      </c>
      <c r="K72" s="30"/>
      <c r="L72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storage.type.class.${1:/downcase}._tag.doc.unit._feeling.ok.text.notedoc</v>
      </c>
      <c r="M72" s="16" t="str">
        <f>"" &amp;  IF(Table2[[#This Row],[hasUnsafeRegex]] = 0, Table2[[#This Row],[regexTermInput]], "(?:" &amp; Table2[[#This Row],[regexTermInput]] &amp; ")")</f>
        <v>(?:PKGS?|PACKAGES?)</v>
      </c>
      <c r="N72" s="19">
        <f>IF( IFERROR( FIND("$", Table2[[#This Row],[unsafeRegexGuess]]), 0) &lt;=0, 0, 1)</f>
        <v>1</v>
      </c>
      <c r="O72" s="19">
        <f>IF( IFERROR( FIND("$", Table2[[#This Row],[anyRegexGuess]]), 0) &lt;=0, 0, 1)</f>
        <v>1</v>
      </c>
      <c r="P72" s="21" t="str">
        <f>SUBSTITUTE( SUBSTITUTE( SUBSTITUTE(SUBSTITUTE(Table2[[#This Row],[unsafeRegexGuess]], ")", "$"), "*", "$"), "+", "$"), "?", "$")</f>
        <v>PKGS$$PACKAGES$</v>
      </c>
      <c r="Q72" s="21" t="str">
        <f xml:space="preserve"> SUBSTITUTE( SUBSTITUTE( SUBSTITUTE(Table2[[#This Row],[regexTermInput]], "(", "$"), "|", "$"), "^", "$")</f>
        <v>PKGS?$PACKAGES?</v>
      </c>
      <c r="R72"/>
      <c r="S72"/>
      <c r="T72"/>
      <c r="U72"/>
      <c r="V72"/>
      <c r="W72"/>
      <c r="X72"/>
      <c r="Z72"/>
    </row>
    <row r="73" spans="2:26" ht="16" customHeight="1" x14ac:dyDescent="0.25">
      <c r="B73" s="15">
        <f>IF( Table2[[#This Row],[target_lang]] = "noted", 1, 0)</f>
        <v>0</v>
      </c>
      <c r="C73" s="15">
        <f xml:space="preserve"> IF( Table2[[#This Row],[target_lang]] = "notedoc", 1, 0)</f>
        <v>1</v>
      </c>
      <c r="D73" s="18" t="s">
        <v>192</v>
      </c>
      <c r="E73" s="18" t="str">
        <f>IF( Table2[[#This Row],[label]] = "", "", IF( Table2[[#This Row],[origin]] = "notedoc",  Table2[[#This Row],[origin]],  "noted"))</f>
        <v>notedoc</v>
      </c>
      <c r="F73" s="26" t="s">
        <v>115</v>
      </c>
      <c r="G73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g_tag_doc_unit_feeling_ok</v>
      </c>
      <c r="H73" s="27" t="s">
        <v>190</v>
      </c>
      <c r="I73" s="28" t="s">
        <v>129</v>
      </c>
      <c r="J73" s="26" t="s">
        <v>256</v>
      </c>
      <c r="K73" s="30"/>
      <c r="L73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storage.type.class.${1:/downcase}._tag.doc.unit._feeling.ok.text.notedoc</v>
      </c>
      <c r="M73" s="16" t="str">
        <f>"" &amp;  IF(Table2[[#This Row],[hasUnsafeRegex]] = 0, Table2[[#This Row],[regexTermInput]], "(?:" &amp; Table2[[#This Row],[regexTermInput]] &amp; ")")</f>
        <v>UNITS?</v>
      </c>
      <c r="N73" s="19">
        <f>IF( IFERROR( FIND("$", Table2[[#This Row],[unsafeRegexGuess]]), 0) &lt;=0, 0, 1)</f>
        <v>0</v>
      </c>
      <c r="O73" s="19">
        <f>IF( IFERROR( FIND("$", Table2[[#This Row],[anyRegexGuess]]), 0) &lt;=0, 0, 1)</f>
        <v>1</v>
      </c>
      <c r="P73" s="21" t="str">
        <f>SUBSTITUTE( SUBSTITUTE( SUBSTITUTE(SUBSTITUTE(Table2[[#This Row],[unsafeRegexGuess]], ")", "$"), "*", "$"), "+", "$"), "?", "$")</f>
        <v>UNITS$</v>
      </c>
      <c r="Q73" s="21" t="str">
        <f xml:space="preserve"> SUBSTITUTE( SUBSTITUTE( SUBSTITUTE(Table2[[#This Row],[regexTermInput]], "(", "$"), "|", "$"), "^", "$")</f>
        <v>UNITS?</v>
      </c>
      <c r="R73"/>
      <c r="S73"/>
      <c r="T73"/>
      <c r="U73"/>
      <c r="V73"/>
      <c r="W73"/>
      <c r="X73"/>
      <c r="Z73"/>
    </row>
    <row r="74" spans="2:26" ht="16" customHeight="1" x14ac:dyDescent="0.25">
      <c r="B74" s="15">
        <f>IF( Table2[[#This Row],[target_lang]] = "noted", 1, 0)</f>
        <v>0</v>
      </c>
      <c r="C74" s="15">
        <f xml:space="preserve"> IF( Table2[[#This Row],[target_lang]] = "notedoc", 1, 0)</f>
        <v>0</v>
      </c>
      <c r="D74" s="18" t="s">
        <v>51</v>
      </c>
      <c r="E74" s="18" t="str">
        <f>IF( Table2[[#This Row],[label]] = "", "", IF( Table2[[#This Row],[origin]] = "notedoc",  Table2[[#This Row],[origin]],  "noted"))</f>
        <v/>
      </c>
      <c r="F74" s="26" t="s">
        <v>63</v>
      </c>
      <c r="G74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/>
      </c>
      <c r="H74" s="27" t="str">
        <f>""</f>
        <v/>
      </c>
      <c r="I74" s="28" t="str">
        <f>Table2[[#This Row],[label]]</f>
        <v/>
      </c>
      <c r="J74" s="26" t="str">
        <f>""</f>
        <v/>
      </c>
      <c r="K74" s="30"/>
      <c r="L74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M74" s="16" t="str">
        <f>"" &amp;  IF(Table2[[#This Row],[hasUnsafeRegex]] = 0, Table2[[#This Row],[regexTermInput]], "(?:" &amp; Table2[[#This Row],[regexTermInput]] &amp; ")")</f>
        <v/>
      </c>
      <c r="N74" s="19">
        <f>IF( IFERROR( FIND("$", Table2[[#This Row],[unsafeRegexGuess]]), 0) &lt;=0, 0, 1)</f>
        <v>0</v>
      </c>
      <c r="O74" s="19">
        <f>IF( IFERROR( FIND("$", Table2[[#This Row],[anyRegexGuess]]), 0) &lt;=0, 0, 1)</f>
        <v>0</v>
      </c>
      <c r="P74" s="21" t="str">
        <f>SUBSTITUTE( SUBSTITUTE( SUBSTITUTE(SUBSTITUTE(Table2[[#This Row],[unsafeRegexGuess]], ")", "$"), "*", "$"), "+", "$"), "?", "$")</f>
        <v/>
      </c>
      <c r="Q74" s="21" t="str">
        <f xml:space="preserve"> SUBSTITUTE( SUBSTITUTE( SUBSTITUTE(Table2[[#This Row],[regexTermInput]], "(", "$"), "|", "$"), "^", "$")</f>
        <v/>
      </c>
      <c r="R74"/>
      <c r="S74"/>
      <c r="T74"/>
      <c r="U74"/>
      <c r="V74"/>
      <c r="W74"/>
      <c r="X74"/>
      <c r="Z74"/>
    </row>
    <row r="75" spans="2:26" ht="16" customHeight="1" x14ac:dyDescent="0.25">
      <c r="B75" s="15">
        <f>IF( Table2[[#This Row],[target_lang]] = "noted", 1, 0)</f>
        <v>1</v>
      </c>
      <c r="C75" s="15">
        <f xml:space="preserve"> IF( Table2[[#This Row],[target_lang]] = "notedoc", 1, 0)</f>
        <v>0</v>
      </c>
      <c r="D75" s="18" t="s">
        <v>51</v>
      </c>
      <c r="E75" s="18" t="str">
        <f>IF( Table2[[#This Row],[label]] = "", "", IF( Table2[[#This Row],[origin]] = "notedoc",  Table2[[#This Row],[origin]],  "noted"))</f>
        <v>noted</v>
      </c>
      <c r="F75" s="26" t="s">
        <v>63</v>
      </c>
      <c r="G75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g_tag_intent_feeling_ok</v>
      </c>
      <c r="H75" s="27" t="s">
        <v>102</v>
      </c>
      <c r="I75" s="28" t="str">
        <f>Table2[[#This Row],[label]]</f>
        <v>CHANGE</v>
      </c>
      <c r="J75" s="26" t="s">
        <v>256</v>
      </c>
      <c r="K75" s="30"/>
      <c r="L75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storage.type.class.${1:/downcase}._tag.intent._feeling.ok.text.noted</v>
      </c>
      <c r="M75" s="16" t="str">
        <f>"" &amp;  IF(Table2[[#This Row],[hasUnsafeRegex]] = 0, Table2[[#This Row],[regexTermInput]], "(?:" &amp; Table2[[#This Row],[regexTermInput]] &amp; ")")</f>
        <v>CHANGE</v>
      </c>
      <c r="N75" s="19">
        <f>IF( IFERROR( FIND("$", Table2[[#This Row],[unsafeRegexGuess]]), 0) &lt;=0, 0, 1)</f>
        <v>0</v>
      </c>
      <c r="O75" s="19">
        <f>IF( IFERROR( FIND("$", Table2[[#This Row],[anyRegexGuess]]), 0) &lt;=0, 0, 1)</f>
        <v>0</v>
      </c>
      <c r="P75" s="21" t="str">
        <f>SUBSTITUTE( SUBSTITUTE( SUBSTITUTE(SUBSTITUTE(Table2[[#This Row],[unsafeRegexGuess]], ")", "$"), "*", "$"), "+", "$"), "?", "$")</f>
        <v>CHANGE</v>
      </c>
      <c r="Q75" s="21" t="str">
        <f xml:space="preserve"> SUBSTITUTE( SUBSTITUTE( SUBSTITUTE(Table2[[#This Row],[regexTermInput]], "(", "$"), "|", "$"), "^", "$")</f>
        <v>CHANGE</v>
      </c>
      <c r="R75"/>
      <c r="S75"/>
      <c r="T75"/>
      <c r="U75"/>
      <c r="V75"/>
      <c r="W75"/>
      <c r="X75"/>
      <c r="Z75"/>
    </row>
    <row r="76" spans="2:26" ht="16" customHeight="1" x14ac:dyDescent="0.25">
      <c r="B76" s="15">
        <f>IF( Table2[[#This Row],[target_lang]] = "noted", 1, 0)</f>
        <v>1</v>
      </c>
      <c r="C76" s="15">
        <f xml:space="preserve"> IF( Table2[[#This Row],[target_lang]] = "notedoc", 1, 0)</f>
        <v>0</v>
      </c>
      <c r="D76" s="18" t="s">
        <v>51</v>
      </c>
      <c r="E76" s="18" t="str">
        <f>IF( Table2[[#This Row],[label]] = "", "", IF( Table2[[#This Row],[origin]] = "notedoc",  Table2[[#This Row],[origin]],  "noted"))</f>
        <v>noted</v>
      </c>
      <c r="F76" s="26" t="s">
        <v>63</v>
      </c>
      <c r="G76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g_tag_intent_feeling_ok</v>
      </c>
      <c r="H76" s="27" t="s">
        <v>52</v>
      </c>
      <c r="I76" s="28" t="str">
        <f>Table2[[#This Row],[label]]</f>
        <v>DECIDE</v>
      </c>
      <c r="J76" s="26" t="s">
        <v>256</v>
      </c>
      <c r="K76" s="30"/>
      <c r="L76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storage.type.class.${1:/downcase}._tag.intent._feeling.ok.text.noted</v>
      </c>
      <c r="M76" s="16" t="str">
        <f>"" &amp;  IF(Table2[[#This Row],[hasUnsafeRegex]] = 0, Table2[[#This Row],[regexTermInput]], "(?:" &amp; Table2[[#This Row],[regexTermInput]] &amp; ")")</f>
        <v>DECIDE</v>
      </c>
      <c r="N76" s="19">
        <f>IF( IFERROR( FIND("$", Table2[[#This Row],[unsafeRegexGuess]]), 0) &lt;=0, 0, 1)</f>
        <v>0</v>
      </c>
      <c r="O76" s="19">
        <f>IF( IFERROR( FIND("$", Table2[[#This Row],[anyRegexGuess]]), 0) &lt;=0, 0, 1)</f>
        <v>0</v>
      </c>
      <c r="P76" s="21" t="str">
        <f>SUBSTITUTE( SUBSTITUTE( SUBSTITUTE(SUBSTITUTE(Table2[[#This Row],[unsafeRegexGuess]], ")", "$"), "*", "$"), "+", "$"), "?", "$")</f>
        <v>DECIDE</v>
      </c>
      <c r="Q76" s="21" t="str">
        <f xml:space="preserve"> SUBSTITUTE( SUBSTITUTE( SUBSTITUTE(Table2[[#This Row],[regexTermInput]], "(", "$"), "|", "$"), "^", "$")</f>
        <v>DECIDE</v>
      </c>
      <c r="R76"/>
      <c r="S76"/>
      <c r="T76"/>
      <c r="U76"/>
      <c r="V76"/>
      <c r="W76"/>
      <c r="X76"/>
      <c r="Z76"/>
    </row>
    <row r="77" spans="2:26" ht="16" customHeight="1" x14ac:dyDescent="0.25">
      <c r="B77" s="15">
        <f>IF( Table2[[#This Row],[target_lang]] = "noted", 1, 0)</f>
        <v>1</v>
      </c>
      <c r="C77" s="15">
        <f xml:space="preserve"> IF( Table2[[#This Row],[target_lang]] = "notedoc", 1, 0)</f>
        <v>0</v>
      </c>
      <c r="D77" s="18" t="s">
        <v>51</v>
      </c>
      <c r="E77" s="18" t="str">
        <f>IF( Table2[[#This Row],[label]] = "", "", IF( Table2[[#This Row],[origin]] = "notedoc",  Table2[[#This Row],[origin]],  "noted"))</f>
        <v>noted</v>
      </c>
      <c r="F77" s="26" t="s">
        <v>63</v>
      </c>
      <c r="G77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g_tag_intent_feeling_ok</v>
      </c>
      <c r="H77" s="27" t="s">
        <v>107</v>
      </c>
      <c r="I77" s="28" t="str">
        <f>Table2[[#This Row],[label]]</f>
        <v>DUMP</v>
      </c>
      <c r="J77" s="26" t="s">
        <v>256</v>
      </c>
      <c r="K77" s="30"/>
      <c r="L77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storage.type.class.${1:/downcase}._tag.intent._feeling.ok.text.noted</v>
      </c>
      <c r="M77" s="16" t="str">
        <f>"" &amp;  IF(Table2[[#This Row],[hasUnsafeRegex]] = 0, Table2[[#This Row],[regexTermInput]], "(?:" &amp; Table2[[#This Row],[regexTermInput]] &amp; ")")</f>
        <v>DUMP</v>
      </c>
      <c r="N77" s="19">
        <f>IF( IFERROR( FIND("$", Table2[[#This Row],[unsafeRegexGuess]]), 0) &lt;=0, 0, 1)</f>
        <v>0</v>
      </c>
      <c r="O77" s="19">
        <f>IF( IFERROR( FIND("$", Table2[[#This Row],[anyRegexGuess]]), 0) &lt;=0, 0, 1)</f>
        <v>0</v>
      </c>
      <c r="P77" s="21" t="str">
        <f>SUBSTITUTE( SUBSTITUTE( SUBSTITUTE(SUBSTITUTE(Table2[[#This Row],[unsafeRegexGuess]], ")", "$"), "*", "$"), "+", "$"), "?", "$")</f>
        <v>DUMP</v>
      </c>
      <c r="Q77" s="21" t="str">
        <f xml:space="preserve"> SUBSTITUTE( SUBSTITUTE( SUBSTITUTE(Table2[[#This Row],[regexTermInput]], "(", "$"), "|", "$"), "^", "$")</f>
        <v>DUMP</v>
      </c>
      <c r="R77"/>
      <c r="S77"/>
      <c r="T77"/>
      <c r="U77"/>
      <c r="V77"/>
      <c r="W77"/>
      <c r="X77"/>
      <c r="Z77"/>
    </row>
    <row r="78" spans="2:26" ht="16" customHeight="1" x14ac:dyDescent="0.25">
      <c r="B78" s="15">
        <f>IF( Table2[[#This Row],[target_lang]] = "noted", 1, 0)</f>
        <v>1</v>
      </c>
      <c r="C78" s="15">
        <f xml:space="preserve"> IF( Table2[[#This Row],[target_lang]] = "notedoc", 1, 0)</f>
        <v>0</v>
      </c>
      <c r="D78" s="18" t="s">
        <v>51</v>
      </c>
      <c r="E78" s="18" t="str">
        <f>IF( Table2[[#This Row],[label]] = "", "", IF( Table2[[#This Row],[origin]] = "notedoc",  Table2[[#This Row],[origin]],  "noted"))</f>
        <v>noted</v>
      </c>
      <c r="F78" s="26" t="s">
        <v>63</v>
      </c>
      <c r="G78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g_tag_intent_feeling_ok</v>
      </c>
      <c r="H78" s="27" t="s">
        <v>49</v>
      </c>
      <c r="I78" s="28" t="str">
        <f>Table2[[#This Row],[label]]</f>
        <v>IMPROVE</v>
      </c>
      <c r="J78" s="26" t="s">
        <v>256</v>
      </c>
      <c r="K78" s="30"/>
      <c r="L78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storage.type.class.${1:/downcase}._tag.intent._feeling.ok.text.noted</v>
      </c>
      <c r="M78" s="16" t="str">
        <f>"" &amp;  IF(Table2[[#This Row],[hasUnsafeRegex]] = 0, Table2[[#This Row],[regexTermInput]], "(?:" &amp; Table2[[#This Row],[regexTermInput]] &amp; ")")</f>
        <v>IMPROVE</v>
      </c>
      <c r="N78" s="19">
        <f>IF( IFERROR( FIND("$", Table2[[#This Row],[unsafeRegexGuess]]), 0) &lt;=0, 0, 1)</f>
        <v>0</v>
      </c>
      <c r="O78" s="19">
        <f>IF( IFERROR( FIND("$", Table2[[#This Row],[anyRegexGuess]]), 0) &lt;=0, 0, 1)</f>
        <v>0</v>
      </c>
      <c r="P78" s="21" t="str">
        <f>SUBSTITUTE( SUBSTITUTE( SUBSTITUTE(SUBSTITUTE(Table2[[#This Row],[unsafeRegexGuess]], ")", "$"), "*", "$"), "+", "$"), "?", "$")</f>
        <v>IMPROVE</v>
      </c>
      <c r="Q78" s="21" t="str">
        <f xml:space="preserve"> SUBSTITUTE( SUBSTITUTE( SUBSTITUTE(Table2[[#This Row],[regexTermInput]], "(", "$"), "|", "$"), "^", "$")</f>
        <v>IMPROVE</v>
      </c>
      <c r="R78"/>
      <c r="S78"/>
      <c r="T78"/>
      <c r="U78"/>
      <c r="V78"/>
      <c r="W78"/>
      <c r="X78"/>
      <c r="Z78"/>
    </row>
    <row r="79" spans="2:26" ht="16" customHeight="1" x14ac:dyDescent="0.25">
      <c r="B79" s="15">
        <f>IF( Table2[[#This Row],[target_lang]] = "noted", 1, 0)</f>
        <v>1</v>
      </c>
      <c r="C79" s="15">
        <f xml:space="preserve"> IF( Table2[[#This Row],[target_lang]] = "notedoc", 1, 0)</f>
        <v>0</v>
      </c>
      <c r="D79" s="18" t="s">
        <v>51</v>
      </c>
      <c r="E79" s="18" t="str">
        <f>IF( Table2[[#This Row],[label]] = "", "", IF( Table2[[#This Row],[origin]] = "notedoc",  Table2[[#This Row],[origin]],  "noted"))</f>
        <v>noted</v>
      </c>
      <c r="F79" s="26" t="s">
        <v>63</v>
      </c>
      <c r="G79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g_tag_intent_feeling_ok</v>
      </c>
      <c r="H79" s="27" t="s">
        <v>5</v>
      </c>
      <c r="I79" s="28" t="str">
        <f>Table2[[#This Row],[label]]</f>
        <v>LOG</v>
      </c>
      <c r="J79" s="26" t="s">
        <v>256</v>
      </c>
      <c r="K79" s="30"/>
      <c r="L79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storage.type.class.${1:/downcase}._tag.intent._feeling.ok.text.noted</v>
      </c>
      <c r="M79" s="16" t="str">
        <f>"" &amp;  IF(Table2[[#This Row],[hasUnsafeRegex]] = 0, Table2[[#This Row],[regexTermInput]], "(?:" &amp; Table2[[#This Row],[regexTermInput]] &amp; ")")</f>
        <v>LOG</v>
      </c>
      <c r="N79" s="19">
        <f>IF( IFERROR( FIND("$", Table2[[#This Row],[unsafeRegexGuess]]), 0) &lt;=0, 0, 1)</f>
        <v>0</v>
      </c>
      <c r="O79" s="19">
        <f>IF( IFERROR( FIND("$", Table2[[#This Row],[anyRegexGuess]]), 0) &lt;=0, 0, 1)</f>
        <v>0</v>
      </c>
      <c r="P79" s="21" t="str">
        <f>SUBSTITUTE( SUBSTITUTE( SUBSTITUTE(SUBSTITUTE(Table2[[#This Row],[unsafeRegexGuess]], ")", "$"), "*", "$"), "+", "$"), "?", "$")</f>
        <v>LOG</v>
      </c>
      <c r="Q79" s="21" t="str">
        <f xml:space="preserve"> SUBSTITUTE( SUBSTITUTE( SUBSTITUTE(Table2[[#This Row],[regexTermInput]], "(", "$"), "|", "$"), "^", "$")</f>
        <v>LOG</v>
      </c>
      <c r="R79"/>
      <c r="S79"/>
      <c r="T79"/>
      <c r="U79"/>
      <c r="V79"/>
      <c r="W79"/>
      <c r="X79"/>
      <c r="Z79"/>
    </row>
    <row r="80" spans="2:26" ht="16" customHeight="1" x14ac:dyDescent="0.25">
      <c r="B80" s="15">
        <f>IF( Table2[[#This Row],[target_lang]] = "noted", 1, 0)</f>
        <v>1</v>
      </c>
      <c r="C80" s="15">
        <f xml:space="preserve"> IF( Table2[[#This Row],[target_lang]] = "notedoc", 1, 0)</f>
        <v>0</v>
      </c>
      <c r="D80" s="18" t="s">
        <v>43</v>
      </c>
      <c r="E80" s="18" t="str">
        <f>IF( Table2[[#This Row],[label]] = "", "", IF( Table2[[#This Row],[origin]] = "notedoc",  Table2[[#This Row],[origin]],  "noted"))</f>
        <v>noted</v>
      </c>
      <c r="F80" s="26" t="s">
        <v>63</v>
      </c>
      <c r="G80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g_tag_intent_feeling_ok</v>
      </c>
      <c r="H80" s="27" t="s">
        <v>18</v>
      </c>
      <c r="I80" s="28" t="str">
        <f>Table2[[#This Row],[label]]</f>
        <v>OPTIMIZE</v>
      </c>
      <c r="J80" s="26" t="s">
        <v>256</v>
      </c>
      <c r="K80" s="30"/>
      <c r="L80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storage.type.class.${1:/downcase}._tag.intent._feeling.ok.text.noted</v>
      </c>
      <c r="M80" s="16" t="str">
        <f>"" &amp;  IF(Table2[[#This Row],[hasUnsafeRegex]] = 0, Table2[[#This Row],[regexTermInput]], "(?:" &amp; Table2[[#This Row],[regexTermInput]] &amp; ")")</f>
        <v>OPTIMIZE</v>
      </c>
      <c r="N80" s="19">
        <f>IF( IFERROR( FIND("$", Table2[[#This Row],[unsafeRegexGuess]]), 0) &lt;=0, 0, 1)</f>
        <v>0</v>
      </c>
      <c r="O80" s="19">
        <f>IF( IFERROR( FIND("$", Table2[[#This Row],[anyRegexGuess]]), 0) &lt;=0, 0, 1)</f>
        <v>0</v>
      </c>
      <c r="P80" s="21" t="str">
        <f>SUBSTITUTE( SUBSTITUTE( SUBSTITUTE(SUBSTITUTE(Table2[[#This Row],[unsafeRegexGuess]], ")", "$"), "*", "$"), "+", "$"), "?", "$")</f>
        <v>OPTIMIZE</v>
      </c>
      <c r="Q80" s="21" t="str">
        <f xml:space="preserve"> SUBSTITUTE( SUBSTITUTE( SUBSTITUTE(Table2[[#This Row],[regexTermInput]], "(", "$"), "|", "$"), "^", "$")</f>
        <v>OPTIMIZE</v>
      </c>
      <c r="R80"/>
      <c r="S80"/>
      <c r="T80"/>
      <c r="U80"/>
      <c r="V80"/>
      <c r="W80"/>
      <c r="X80"/>
      <c r="Z80"/>
    </row>
    <row r="81" spans="2:26" ht="16" customHeight="1" x14ac:dyDescent="0.25">
      <c r="B81" s="15">
        <f>IF( Table2[[#This Row],[target_lang]] = "noted", 1, 0)</f>
        <v>1</v>
      </c>
      <c r="C81" s="15">
        <f xml:space="preserve"> IF( Table2[[#This Row],[target_lang]] = "notedoc", 1, 0)</f>
        <v>0</v>
      </c>
      <c r="D81" s="18" t="s">
        <v>48</v>
      </c>
      <c r="E81" s="18" t="str">
        <f>IF( Table2[[#This Row],[label]] = "", "", IF( Table2[[#This Row],[origin]] = "notedoc",  Table2[[#This Row],[origin]],  "noted"))</f>
        <v>noted</v>
      </c>
      <c r="F81" s="26" t="s">
        <v>63</v>
      </c>
      <c r="G81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g_tag_intent_feeling_ok</v>
      </c>
      <c r="H81" s="27" t="s">
        <v>19</v>
      </c>
      <c r="I81" s="28" t="str">
        <f>Table2[[#This Row],[label]]</f>
        <v>REFACTOR</v>
      </c>
      <c r="J81" s="26" t="s">
        <v>256</v>
      </c>
      <c r="K81" s="30"/>
      <c r="L81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storage.type.class.${1:/downcase}._tag.intent._feeling.ok.text.noted</v>
      </c>
      <c r="M81" s="16" t="str">
        <f>"" &amp;  IF(Table2[[#This Row],[hasUnsafeRegex]] = 0, Table2[[#This Row],[regexTermInput]], "(?:" &amp; Table2[[#This Row],[regexTermInput]] &amp; ")")</f>
        <v>REFACTOR</v>
      </c>
      <c r="N81" s="19">
        <f>IF( IFERROR( FIND("$", Table2[[#This Row],[unsafeRegexGuess]]), 0) &lt;=0, 0, 1)</f>
        <v>0</v>
      </c>
      <c r="O81" s="19">
        <f>IF( IFERROR( FIND("$", Table2[[#This Row],[anyRegexGuess]]), 0) &lt;=0, 0, 1)</f>
        <v>0</v>
      </c>
      <c r="P81" s="21" t="str">
        <f>SUBSTITUTE( SUBSTITUTE( SUBSTITUTE(SUBSTITUTE(Table2[[#This Row],[unsafeRegexGuess]], ")", "$"), "*", "$"), "+", "$"), "?", "$")</f>
        <v>REFACTOR</v>
      </c>
      <c r="Q81" s="21" t="str">
        <f xml:space="preserve"> SUBSTITUTE( SUBSTITUTE( SUBSTITUTE(Table2[[#This Row],[regexTermInput]], "(", "$"), "|", "$"), "^", "$")</f>
        <v>REFACTOR</v>
      </c>
      <c r="R81"/>
      <c r="S81"/>
      <c r="T81"/>
      <c r="U81"/>
      <c r="V81"/>
      <c r="W81"/>
      <c r="X81"/>
      <c r="Z81"/>
    </row>
    <row r="82" spans="2:26" ht="16" customHeight="1" x14ac:dyDescent="0.25">
      <c r="B82" s="15">
        <f>IF( Table2[[#This Row],[target_lang]] = "noted", 1, 0)</f>
        <v>1</v>
      </c>
      <c r="C82" s="15">
        <f xml:space="preserve"> IF( Table2[[#This Row],[target_lang]] = "notedoc", 1, 0)</f>
        <v>0</v>
      </c>
      <c r="D82" s="18" t="s">
        <v>48</v>
      </c>
      <c r="E82" s="18" t="str">
        <f>IF( Table2[[#This Row],[label]] = "", "", IF( Table2[[#This Row],[origin]] = "notedoc",  Table2[[#This Row],[origin]],  "noted"))</f>
        <v>noted</v>
      </c>
      <c r="F82" s="26" t="s">
        <v>63</v>
      </c>
      <c r="G82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g_tag_intent_feeling_ok</v>
      </c>
      <c r="H82" s="27" t="s">
        <v>20</v>
      </c>
      <c r="I82" s="28" t="str">
        <f>Table2[[#This Row],[label]]</f>
        <v>REMOVE</v>
      </c>
      <c r="J82" s="26" t="s">
        <v>256</v>
      </c>
      <c r="K82" s="30"/>
      <c r="L82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storage.type.class.${1:/downcase}._tag.intent._feeling.ok.text.noted</v>
      </c>
      <c r="M82" s="16" t="str">
        <f>"" &amp;  IF(Table2[[#This Row],[hasUnsafeRegex]] = 0, Table2[[#This Row],[regexTermInput]], "(?:" &amp; Table2[[#This Row],[regexTermInput]] &amp; ")")</f>
        <v>REMOVE</v>
      </c>
      <c r="N82" s="19">
        <f>IF( IFERROR( FIND("$", Table2[[#This Row],[unsafeRegexGuess]]), 0) &lt;=0, 0, 1)</f>
        <v>0</v>
      </c>
      <c r="O82" s="19">
        <f>IF( IFERROR( FIND("$", Table2[[#This Row],[anyRegexGuess]]), 0) &lt;=0, 0, 1)</f>
        <v>0</v>
      </c>
      <c r="P82" s="21" t="str">
        <f>SUBSTITUTE( SUBSTITUTE( SUBSTITUTE(SUBSTITUTE(Table2[[#This Row],[unsafeRegexGuess]], ")", "$"), "*", "$"), "+", "$"), "?", "$")</f>
        <v>REMOVE</v>
      </c>
      <c r="Q82" s="21" t="str">
        <f xml:space="preserve"> SUBSTITUTE( SUBSTITUTE( SUBSTITUTE(Table2[[#This Row],[regexTermInput]], "(", "$"), "|", "$"), "^", "$")</f>
        <v>REMOVE</v>
      </c>
      <c r="R82"/>
      <c r="S82"/>
      <c r="T82"/>
      <c r="U82"/>
      <c r="V82"/>
      <c r="W82"/>
      <c r="X82"/>
      <c r="Z82"/>
    </row>
    <row r="83" spans="2:26" ht="16" customHeight="1" x14ac:dyDescent="0.25">
      <c r="B83" s="15">
        <f>IF( Table2[[#This Row],[target_lang]] = "noted", 1, 0)</f>
        <v>1</v>
      </c>
      <c r="C83" s="15">
        <f xml:space="preserve"> IF( Table2[[#This Row],[target_lang]] = "notedoc", 1, 0)</f>
        <v>0</v>
      </c>
      <c r="D83" s="18" t="s">
        <v>51</v>
      </c>
      <c r="E83" s="18" t="str">
        <f>IF( Table2[[#This Row],[label]] = "", "", IF( Table2[[#This Row],[origin]] = "notedoc",  Table2[[#This Row],[origin]],  "noted"))</f>
        <v>noted</v>
      </c>
      <c r="F83" s="26" t="s">
        <v>63</v>
      </c>
      <c r="G83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g_tag_intent_feeling_ok</v>
      </c>
      <c r="H83" s="27" t="s">
        <v>62</v>
      </c>
      <c r="I83" s="28" t="str">
        <f>Table2[[#This Row],[label]]</f>
        <v>REVERT</v>
      </c>
      <c r="J83" s="26" t="s">
        <v>256</v>
      </c>
      <c r="K83" s="30"/>
      <c r="L83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storage.type.class.${1:/downcase}._tag.intent._feeling.ok.text.noted</v>
      </c>
      <c r="M83" s="16" t="str">
        <f>"" &amp;  IF(Table2[[#This Row],[hasUnsafeRegex]] = 0, Table2[[#This Row],[regexTermInput]], "(?:" &amp; Table2[[#This Row],[regexTermInput]] &amp; ")")</f>
        <v>REVERT</v>
      </c>
      <c r="N83" s="19">
        <f>IF( IFERROR( FIND("$", Table2[[#This Row],[unsafeRegexGuess]]), 0) &lt;=0, 0, 1)</f>
        <v>0</v>
      </c>
      <c r="O83" s="19">
        <f>IF( IFERROR( FIND("$", Table2[[#This Row],[anyRegexGuess]]), 0) &lt;=0, 0, 1)</f>
        <v>0</v>
      </c>
      <c r="P83" s="21" t="str">
        <f>SUBSTITUTE( SUBSTITUTE( SUBSTITUTE(SUBSTITUTE(Table2[[#This Row],[unsafeRegexGuess]], ")", "$"), "*", "$"), "+", "$"), "?", "$")</f>
        <v>REVERT</v>
      </c>
      <c r="Q83" s="21" t="str">
        <f xml:space="preserve"> SUBSTITUTE( SUBSTITUTE( SUBSTITUTE(Table2[[#This Row],[regexTermInput]], "(", "$"), "|", "$"), "^", "$")</f>
        <v>REVERT</v>
      </c>
      <c r="R83"/>
      <c r="S83"/>
      <c r="T83"/>
      <c r="U83"/>
      <c r="V83"/>
      <c r="W83"/>
      <c r="X83"/>
      <c r="Z83"/>
    </row>
    <row r="84" spans="2:26" ht="16" customHeight="1" x14ac:dyDescent="0.25">
      <c r="B84" s="15">
        <f>IF( Table2[[#This Row],[target_lang]] = "noted", 1, 0)</f>
        <v>1</v>
      </c>
      <c r="C84" s="15">
        <f xml:space="preserve"> IF( Table2[[#This Row],[target_lang]] = "notedoc", 1, 0)</f>
        <v>0</v>
      </c>
      <c r="D84" s="18" t="s">
        <v>43</v>
      </c>
      <c r="E84" s="18" t="str">
        <f>IF( Table2[[#This Row],[label]] = "", "", IF( Table2[[#This Row],[origin]] = "notedoc",  Table2[[#This Row],[origin]],  "noted"))</f>
        <v>noted</v>
      </c>
      <c r="F84" s="26" t="s">
        <v>63</v>
      </c>
      <c r="G84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g_tag_intent_feeling_ok</v>
      </c>
      <c r="H84" s="27" t="s">
        <v>21</v>
      </c>
      <c r="I84" s="28" t="str">
        <f>Table2[[#This Row],[label]]</f>
        <v>REVIEW</v>
      </c>
      <c r="J84" s="26" t="s">
        <v>256</v>
      </c>
      <c r="K84" s="30"/>
      <c r="L84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storage.type.class.${1:/downcase}._tag.intent._feeling.ok.text.noted</v>
      </c>
      <c r="M84" s="16" t="str">
        <f>"" &amp;  IF(Table2[[#This Row],[hasUnsafeRegex]] = 0, Table2[[#This Row],[regexTermInput]], "(?:" &amp; Table2[[#This Row],[regexTermInput]] &amp; ")")</f>
        <v>REVIEW</v>
      </c>
      <c r="N84" s="19">
        <f>IF( IFERROR( FIND("$", Table2[[#This Row],[unsafeRegexGuess]]), 0) &lt;=0, 0, 1)</f>
        <v>0</v>
      </c>
      <c r="O84" s="19">
        <f>IF( IFERROR( FIND("$", Table2[[#This Row],[anyRegexGuess]]), 0) &lt;=0, 0, 1)</f>
        <v>0</v>
      </c>
      <c r="P84" s="21" t="str">
        <f>SUBSTITUTE( SUBSTITUTE( SUBSTITUTE(SUBSTITUTE(Table2[[#This Row],[unsafeRegexGuess]], ")", "$"), "*", "$"), "+", "$"), "?", "$")</f>
        <v>REVIEW</v>
      </c>
      <c r="Q84" s="21" t="str">
        <f xml:space="preserve"> SUBSTITUTE( SUBSTITUTE( SUBSTITUTE(Table2[[#This Row],[regexTermInput]], "(", "$"), "|", "$"), "^", "$")</f>
        <v>REVIEW</v>
      </c>
      <c r="R84"/>
      <c r="S84"/>
      <c r="T84"/>
      <c r="U84"/>
      <c r="V84"/>
      <c r="W84"/>
      <c r="X84"/>
      <c r="Z84"/>
    </row>
    <row r="85" spans="2:26" ht="16" customHeight="1" x14ac:dyDescent="0.25">
      <c r="B85" s="15">
        <f>IF( Table2[[#This Row],[target_lang]] = "noted", 1, 0)</f>
        <v>1</v>
      </c>
      <c r="C85" s="15">
        <f xml:space="preserve"> IF( Table2[[#This Row],[target_lang]] = "notedoc", 1, 0)</f>
        <v>0</v>
      </c>
      <c r="D85" s="18" t="s">
        <v>51</v>
      </c>
      <c r="E85" s="18" t="str">
        <f>IF( Table2[[#This Row],[label]] = "", "", IF( Table2[[#This Row],[origin]] = "notedoc",  Table2[[#This Row],[origin]],  "noted"))</f>
        <v>noted</v>
      </c>
      <c r="F85" s="26" t="s">
        <v>63</v>
      </c>
      <c r="G85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g_tag_intent_feeling_ok</v>
      </c>
      <c r="H85" s="27" t="s">
        <v>53</v>
      </c>
      <c r="I85" s="28" t="str">
        <f>Table2[[#This Row],[label]]</f>
        <v>TEST</v>
      </c>
      <c r="J85" s="26" t="s">
        <v>256</v>
      </c>
      <c r="K85" s="30"/>
      <c r="L85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storage.type.class.${1:/downcase}._tag.intent._feeling.ok.text.noted</v>
      </c>
      <c r="M85" s="16" t="str">
        <f>"" &amp;  IF(Table2[[#This Row],[hasUnsafeRegex]] = 0, Table2[[#This Row],[regexTermInput]], "(?:" &amp; Table2[[#This Row],[regexTermInput]] &amp; ")")</f>
        <v>TEST</v>
      </c>
      <c r="N85" s="19">
        <f>IF( IFERROR( FIND("$", Table2[[#This Row],[unsafeRegexGuess]]), 0) &lt;=0, 0, 1)</f>
        <v>0</v>
      </c>
      <c r="O85" s="19">
        <f>IF( IFERROR( FIND("$", Table2[[#This Row],[anyRegexGuess]]), 0) &lt;=0, 0, 1)</f>
        <v>0</v>
      </c>
      <c r="P85" s="21" t="str">
        <f>SUBSTITUTE( SUBSTITUTE( SUBSTITUTE(SUBSTITUTE(Table2[[#This Row],[unsafeRegexGuess]], ")", "$"), "*", "$"), "+", "$"), "?", "$")</f>
        <v>TEST</v>
      </c>
      <c r="Q85" s="21" t="str">
        <f xml:space="preserve"> SUBSTITUTE( SUBSTITUTE( SUBSTITUTE(Table2[[#This Row],[regexTermInput]], "(", "$"), "|", "$"), "^", "$")</f>
        <v>TEST</v>
      </c>
      <c r="R85"/>
      <c r="S85"/>
      <c r="T85"/>
      <c r="U85"/>
      <c r="V85"/>
      <c r="W85"/>
      <c r="X85"/>
      <c r="Z85"/>
    </row>
    <row r="86" spans="2:26" x14ac:dyDescent="0.25">
      <c r="B86" s="15">
        <f>IF( Table2[[#This Row],[target_lang]] = "noted", 1, 0)</f>
        <v>0</v>
      </c>
      <c r="C86" s="15">
        <f xml:space="preserve"> IF( Table2[[#This Row],[target_lang]] = "notedoc", 1, 0)</f>
        <v>0</v>
      </c>
      <c r="D86" s="18" t="s">
        <v>51</v>
      </c>
      <c r="E86" s="18" t="str">
        <f>IF( Table2[[#This Row],[label]] = "", "", IF( Table2[[#This Row],[origin]] = "notedoc",  Table2[[#This Row],[origin]],  "noted"))</f>
        <v/>
      </c>
      <c r="F86" s="26" t="s">
        <v>57</v>
      </c>
      <c r="G86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/>
      </c>
      <c r="H86" s="27" t="str">
        <f>""</f>
        <v/>
      </c>
      <c r="I86" s="28" t="str">
        <f>Table2[[#This Row],[label]]</f>
        <v/>
      </c>
      <c r="J86" s="26" t="str">
        <f>""</f>
        <v/>
      </c>
      <c r="K86" s="30"/>
      <c r="L86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M86" s="16" t="str">
        <f>"" &amp;  IF(Table2[[#This Row],[hasUnsafeRegex]] = 0, Table2[[#This Row],[regexTermInput]], "(?:" &amp; Table2[[#This Row],[regexTermInput]] &amp; ")")</f>
        <v/>
      </c>
      <c r="N86" s="19">
        <f>IF( IFERROR( FIND("$", Table2[[#This Row],[unsafeRegexGuess]]), 0) &lt;=0, 0, 1)</f>
        <v>0</v>
      </c>
      <c r="O86" s="19">
        <f>IF( IFERROR( FIND("$", Table2[[#This Row],[anyRegexGuess]]), 0) &lt;=0, 0, 1)</f>
        <v>0</v>
      </c>
      <c r="P86" s="21" t="str">
        <f>SUBSTITUTE( SUBSTITUTE( SUBSTITUTE(SUBSTITUTE(Table2[[#This Row],[unsafeRegexGuess]], ")", "$"), "*", "$"), "+", "$"), "?", "$")</f>
        <v/>
      </c>
      <c r="Q86" s="21" t="str">
        <f xml:space="preserve"> SUBSTITUTE( SUBSTITUTE( SUBSTITUTE(Table2[[#This Row],[regexTermInput]], "(", "$"), "|", "$"), "^", "$")</f>
        <v/>
      </c>
      <c r="R86"/>
      <c r="S86"/>
      <c r="T86"/>
      <c r="U86"/>
      <c r="V86"/>
      <c r="W86"/>
      <c r="X86"/>
      <c r="Z86"/>
    </row>
    <row r="87" spans="2:26" x14ac:dyDescent="0.25">
      <c r="B87" s="15">
        <f>IF( Table2[[#This Row],[target_lang]] = "noted", 1, 0)</f>
        <v>1</v>
      </c>
      <c r="C87" s="15">
        <f xml:space="preserve"> IF( Table2[[#This Row],[target_lang]] = "notedoc", 1, 0)</f>
        <v>0</v>
      </c>
      <c r="D87" s="18" t="s">
        <v>48</v>
      </c>
      <c r="E87" s="18" t="str">
        <f>IF( Table2[[#This Row],[label]] = "", "", IF( Table2[[#This Row],[origin]] = "notedoc",  Table2[[#This Row],[origin]],  "noted"))</f>
        <v>noted</v>
      </c>
      <c r="F87" s="26" t="s">
        <v>57</v>
      </c>
      <c r="G87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g_tag_issue_feeling_bad</v>
      </c>
      <c r="H87" s="27" t="s">
        <v>32</v>
      </c>
      <c r="I87" s="28" t="str">
        <f>Table2[[#This Row],[label]]</f>
        <v>BROKEN</v>
      </c>
      <c r="J87" s="26" t="s">
        <v>65</v>
      </c>
      <c r="K87" s="29"/>
      <c r="L87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storage.type.class.${1:/downcase}._tag.issue._feeling.bad.text.noted</v>
      </c>
      <c r="M87" s="17" t="str">
        <f>"" &amp;  IF(Table2[[#This Row],[hasUnsafeRegex]] = 0, Table2[[#This Row],[regexTermInput]], "(?:" &amp; Table2[[#This Row],[regexTermInput]] &amp; ")")</f>
        <v>BROKEN</v>
      </c>
      <c r="N87" s="19">
        <f>IF( IFERROR( FIND("$", Table2[[#This Row],[unsafeRegexGuess]]), 0) &lt;=0, 0, 1)</f>
        <v>0</v>
      </c>
      <c r="O87" s="19">
        <f>IF( IFERROR( FIND("$", Table2[[#This Row],[anyRegexGuess]]), 0) &lt;=0, 0, 1)</f>
        <v>0</v>
      </c>
      <c r="P87" s="21" t="str">
        <f>SUBSTITUTE( SUBSTITUTE( SUBSTITUTE(SUBSTITUTE(Table2[[#This Row],[unsafeRegexGuess]], ")", "$"), "*", "$"), "+", "$"), "?", "$")</f>
        <v>BROKEN</v>
      </c>
      <c r="Q87" s="21" t="str">
        <f xml:space="preserve"> SUBSTITUTE( SUBSTITUTE( SUBSTITUTE(Table2[[#This Row],[regexTermInput]], "(", "$"), "|", "$"), "^", "$")</f>
        <v>BROKEN</v>
      </c>
      <c r="R87"/>
      <c r="S87"/>
      <c r="T87"/>
      <c r="U87"/>
      <c r="V87"/>
      <c r="W87"/>
      <c r="X87"/>
      <c r="Z87"/>
    </row>
    <row r="88" spans="2:26" x14ac:dyDescent="0.25">
      <c r="B88" s="15">
        <f>IF( Table2[[#This Row],[target_lang]] = "noted", 1, 0)</f>
        <v>1</v>
      </c>
      <c r="C88" s="15">
        <f xml:space="preserve"> IF( Table2[[#This Row],[target_lang]] = "notedoc", 1, 0)</f>
        <v>0</v>
      </c>
      <c r="D88" s="24" t="s">
        <v>43</v>
      </c>
      <c r="E88" s="18" t="str">
        <f>IF( Table2[[#This Row],[label]] = "", "", IF( Table2[[#This Row],[origin]] = "notedoc",  Table2[[#This Row],[origin]],  "noted"))</f>
        <v>noted</v>
      </c>
      <c r="F88" s="26" t="s">
        <v>57</v>
      </c>
      <c r="G88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g_tag_issue_feeling_bad</v>
      </c>
      <c r="H88" s="27" t="s">
        <v>33</v>
      </c>
      <c r="I88" s="28" t="str">
        <f>Table2[[#This Row],[label]]</f>
        <v>BUG</v>
      </c>
      <c r="J88" s="26" t="s">
        <v>65</v>
      </c>
      <c r="K88" s="29"/>
      <c r="L88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storage.type.class.${1:/downcase}._tag.issue._feeling.bad.text.noted</v>
      </c>
      <c r="M88" s="17" t="str">
        <f>"" &amp;  IF(Table2[[#This Row],[hasUnsafeRegex]] = 0, Table2[[#This Row],[regexTermInput]], "(?:" &amp; Table2[[#This Row],[regexTermInput]] &amp; ")")</f>
        <v>BUG</v>
      </c>
      <c r="N88" s="19">
        <f>IF( IFERROR( FIND("$", Table2[[#This Row],[unsafeRegexGuess]]), 0) &lt;=0, 0, 1)</f>
        <v>0</v>
      </c>
      <c r="O88" s="19">
        <f>IF( IFERROR( FIND("$", Table2[[#This Row],[anyRegexGuess]]), 0) &lt;=0, 0, 1)</f>
        <v>0</v>
      </c>
      <c r="P88" s="21" t="str">
        <f>SUBSTITUTE( SUBSTITUTE( SUBSTITUTE(SUBSTITUTE(Table2[[#This Row],[unsafeRegexGuess]], ")", "$"), "*", "$"), "+", "$"), "?", "$")</f>
        <v>BUG</v>
      </c>
      <c r="Q88" s="21" t="str">
        <f xml:space="preserve"> SUBSTITUTE( SUBSTITUTE( SUBSTITUTE(Table2[[#This Row],[regexTermInput]], "(", "$"), "|", "$"), "^", "$")</f>
        <v>BUG</v>
      </c>
      <c r="R88"/>
      <c r="S88"/>
      <c r="T88"/>
      <c r="U88"/>
      <c r="V88"/>
      <c r="W88"/>
      <c r="X88"/>
      <c r="Z88"/>
    </row>
    <row r="89" spans="2:26" x14ac:dyDescent="0.25">
      <c r="B89" s="15">
        <f>IF( Table2[[#This Row],[target_lang]] = "noted", 1, 0)</f>
        <v>1</v>
      </c>
      <c r="C89" s="15">
        <f xml:space="preserve"> IF( Table2[[#This Row],[target_lang]] = "notedoc", 1, 0)</f>
        <v>0</v>
      </c>
      <c r="D89" s="18" t="s">
        <v>43</v>
      </c>
      <c r="E89" s="18" t="str">
        <f>IF( Table2[[#This Row],[label]] = "", "", IF( Table2[[#This Row],[origin]] = "notedoc",  Table2[[#This Row],[origin]],  "noted"))</f>
        <v>noted</v>
      </c>
      <c r="F89" s="26" t="s">
        <v>57</v>
      </c>
      <c r="G89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g_tag_issue_feeling_bad</v>
      </c>
      <c r="H89" s="27" t="s">
        <v>16</v>
      </c>
      <c r="I89" s="28" t="str">
        <f>Table2[[#This Row],[label]]</f>
        <v>FIXME</v>
      </c>
      <c r="J89" s="26" t="s">
        <v>65</v>
      </c>
      <c r="K89" s="29"/>
      <c r="L89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storage.type.class.${1:/downcase}._tag.issue._feeling.bad.text.noted</v>
      </c>
      <c r="M89" s="17" t="str">
        <f>"" &amp;  IF(Table2[[#This Row],[hasUnsafeRegex]] = 0, Table2[[#This Row],[regexTermInput]], "(?:" &amp; Table2[[#This Row],[regexTermInput]] &amp; ")")</f>
        <v>FIXME</v>
      </c>
      <c r="N89" s="19">
        <f>IF( IFERROR( FIND("$", Table2[[#This Row],[unsafeRegexGuess]]), 0) &lt;=0, 0, 1)</f>
        <v>0</v>
      </c>
      <c r="O89" s="19">
        <f>IF( IFERROR( FIND("$", Table2[[#This Row],[anyRegexGuess]]), 0) &lt;=0, 0, 1)</f>
        <v>0</v>
      </c>
      <c r="P89" s="21" t="str">
        <f>SUBSTITUTE( SUBSTITUTE( SUBSTITUTE(SUBSTITUTE(Table2[[#This Row],[unsafeRegexGuess]], ")", "$"), "*", "$"), "+", "$"), "?", "$")</f>
        <v>FIXME</v>
      </c>
      <c r="Q89" s="21" t="str">
        <f xml:space="preserve"> SUBSTITUTE( SUBSTITUTE( SUBSTITUTE(Table2[[#This Row],[regexTermInput]], "(", "$"), "|", "$"), "^", "$")</f>
        <v>FIXME</v>
      </c>
      <c r="R89"/>
      <c r="S89"/>
      <c r="T89"/>
      <c r="U89"/>
      <c r="V89"/>
      <c r="W89"/>
      <c r="X89"/>
      <c r="Z89"/>
    </row>
    <row r="90" spans="2:26" x14ac:dyDescent="0.25">
      <c r="B90" s="15">
        <f>IF( Table2[[#This Row],[target_lang]] = "noted", 1, 0)</f>
        <v>1</v>
      </c>
      <c r="C90" s="15">
        <f xml:space="preserve"> IF( Table2[[#This Row],[target_lang]] = "notedoc", 1, 0)</f>
        <v>0</v>
      </c>
      <c r="D90" s="18" t="s">
        <v>48</v>
      </c>
      <c r="E90" s="18" t="str">
        <f>IF( Table2[[#This Row],[label]] = "", "", IF( Table2[[#This Row],[origin]] = "notedoc",  Table2[[#This Row],[origin]],  "noted"))</f>
        <v>noted</v>
      </c>
      <c r="F90" s="26" t="s">
        <v>57</v>
      </c>
      <c r="G90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g_tag_issue_feeling_bad</v>
      </c>
      <c r="H90" s="27" t="s">
        <v>37</v>
      </c>
      <c r="I90" s="28" t="str">
        <f>Table2[[#This Row],[label]]</f>
        <v>OMFGRLY</v>
      </c>
      <c r="J90" s="26" t="s">
        <v>65</v>
      </c>
      <c r="K90" s="29"/>
      <c r="L90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storage.type.class.${1:/downcase}._tag.issue._feeling.bad.text.noted</v>
      </c>
      <c r="M90" s="17" t="str">
        <f>"" &amp;  IF(Table2[[#This Row],[hasUnsafeRegex]] = 0, Table2[[#This Row],[regexTermInput]], "(?:" &amp; Table2[[#This Row],[regexTermInput]] &amp; ")")</f>
        <v>OMFGRLY</v>
      </c>
      <c r="N90" s="19">
        <f>IF( IFERROR( FIND("$", Table2[[#This Row],[unsafeRegexGuess]]), 0) &lt;=0, 0, 1)</f>
        <v>0</v>
      </c>
      <c r="O90" s="19">
        <f>IF( IFERROR( FIND("$", Table2[[#This Row],[anyRegexGuess]]), 0) &lt;=0, 0, 1)</f>
        <v>0</v>
      </c>
      <c r="P90" s="21" t="str">
        <f>SUBSTITUTE( SUBSTITUTE( SUBSTITUTE(SUBSTITUTE(Table2[[#This Row],[unsafeRegexGuess]], ")", "$"), "*", "$"), "+", "$"), "?", "$")</f>
        <v>OMFGRLY</v>
      </c>
      <c r="Q90" s="21" t="str">
        <f xml:space="preserve"> SUBSTITUTE( SUBSTITUTE( SUBSTITUTE(Table2[[#This Row],[regexTermInput]], "(", "$"), "|", "$"), "^", "$")</f>
        <v>OMFGRLY</v>
      </c>
      <c r="R90"/>
      <c r="S90"/>
      <c r="T90"/>
      <c r="U90"/>
      <c r="V90"/>
      <c r="W90"/>
      <c r="X90"/>
      <c r="Z90"/>
    </row>
    <row r="91" spans="2:26" x14ac:dyDescent="0.25">
      <c r="B91" s="15">
        <f>IF( Table2[[#This Row],[target_lang]] = "noted", 1, 0)</f>
        <v>1</v>
      </c>
      <c r="C91" s="15">
        <f xml:space="preserve"> IF( Table2[[#This Row],[target_lang]] = "notedoc", 1, 0)</f>
        <v>0</v>
      </c>
      <c r="D91" s="18" t="s">
        <v>48</v>
      </c>
      <c r="E91" s="18" t="str">
        <f>IF( Table2[[#This Row],[label]] = "", "", IF( Table2[[#This Row],[origin]] = "notedoc",  Table2[[#This Row],[origin]],  "noted"))</f>
        <v>noted</v>
      </c>
      <c r="F91" s="26" t="s">
        <v>57</v>
      </c>
      <c r="G91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g_tag_issue_feeling_bad</v>
      </c>
      <c r="H91" s="27" t="s">
        <v>34</v>
      </c>
      <c r="I91" s="28" t="str">
        <f>Table2[[#This Row],[label]]</f>
        <v>OMG</v>
      </c>
      <c r="J91" s="26" t="s">
        <v>65</v>
      </c>
      <c r="K91" s="29"/>
      <c r="L91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storage.type.class.${1:/downcase}._tag.issue._feeling.bad.text.noted</v>
      </c>
      <c r="M91" s="17" t="str">
        <f>"" &amp;  IF(Table2[[#This Row],[hasUnsafeRegex]] = 0, Table2[[#This Row],[regexTermInput]], "(?:" &amp; Table2[[#This Row],[regexTermInput]] &amp; ")")</f>
        <v>OMG</v>
      </c>
      <c r="N91" s="19">
        <f>IF( IFERROR( FIND("$", Table2[[#This Row],[unsafeRegexGuess]]), 0) &lt;=0, 0, 1)</f>
        <v>0</v>
      </c>
      <c r="O91" s="19">
        <f>IF( IFERROR( FIND("$", Table2[[#This Row],[anyRegexGuess]]), 0) &lt;=0, 0, 1)</f>
        <v>0</v>
      </c>
      <c r="P91" s="21" t="str">
        <f>SUBSTITUTE( SUBSTITUTE( SUBSTITUTE(SUBSTITUTE(Table2[[#This Row],[unsafeRegexGuess]], ")", "$"), "*", "$"), "+", "$"), "?", "$")</f>
        <v>OMG</v>
      </c>
      <c r="Q91" s="21" t="str">
        <f xml:space="preserve"> SUBSTITUTE( SUBSTITUTE( SUBSTITUTE(Table2[[#This Row],[regexTermInput]], "(", "$"), "|", "$"), "^", "$")</f>
        <v>OMG</v>
      </c>
      <c r="R91"/>
      <c r="S91"/>
      <c r="T91"/>
      <c r="U91"/>
      <c r="V91"/>
      <c r="W91"/>
      <c r="X91"/>
      <c r="Z91"/>
    </row>
    <row r="92" spans="2:26" x14ac:dyDescent="0.25">
      <c r="B92" s="15">
        <f>IF( Table2[[#This Row],[target_lang]] = "noted", 1, 0)</f>
        <v>1</v>
      </c>
      <c r="C92" s="15">
        <f xml:space="preserve"> IF( Table2[[#This Row],[target_lang]] = "notedoc", 1, 0)</f>
        <v>0</v>
      </c>
      <c r="D92" s="18" t="s">
        <v>48</v>
      </c>
      <c r="E92" s="18" t="str">
        <f>IF( Table2[[#This Row],[label]] = "", "", IF( Table2[[#This Row],[origin]] = "notedoc",  Table2[[#This Row],[origin]],  "noted"))</f>
        <v>noted</v>
      </c>
      <c r="F92" s="26" t="s">
        <v>57</v>
      </c>
      <c r="G92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g_tag_issue_feeling_bad</v>
      </c>
      <c r="H92" s="27" t="s">
        <v>38</v>
      </c>
      <c r="I92" s="28" t="str">
        <f>Table2[[#This Row],[label]]</f>
        <v>WTF</v>
      </c>
      <c r="J92" s="26" t="s">
        <v>65</v>
      </c>
      <c r="K92" s="29"/>
      <c r="L92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storage.type.class.${1:/downcase}._tag.issue._feeling.bad.text.noted</v>
      </c>
      <c r="M92" s="17" t="str">
        <f>"" &amp;  IF(Table2[[#This Row],[hasUnsafeRegex]] = 0, Table2[[#This Row],[regexTermInput]], "(?:" &amp; Table2[[#This Row],[regexTermInput]] &amp; ")")</f>
        <v>WTF</v>
      </c>
      <c r="N92" s="19">
        <f>IF( IFERROR( FIND("$", Table2[[#This Row],[unsafeRegexGuess]]), 0) &lt;=0, 0, 1)</f>
        <v>0</v>
      </c>
      <c r="O92" s="19">
        <f>IF( IFERROR( FIND("$", Table2[[#This Row],[anyRegexGuess]]), 0) &lt;=0, 0, 1)</f>
        <v>0</v>
      </c>
      <c r="P92" s="21" t="str">
        <f>SUBSTITUTE( SUBSTITUTE( SUBSTITUTE(SUBSTITUTE(Table2[[#This Row],[unsafeRegexGuess]], ")", "$"), "*", "$"), "+", "$"), "?", "$")</f>
        <v>WTF</v>
      </c>
      <c r="Q92" s="21" t="str">
        <f xml:space="preserve"> SUBSTITUTE( SUBSTITUTE( SUBSTITUTE(Table2[[#This Row],[regexTermInput]], "(", "$"), "|", "$"), "^", "$")</f>
        <v>WTF</v>
      </c>
      <c r="R92"/>
      <c r="S92"/>
      <c r="T92"/>
      <c r="U92"/>
      <c r="V92"/>
      <c r="W92"/>
      <c r="X92"/>
      <c r="Z92"/>
    </row>
    <row r="93" spans="2:26" x14ac:dyDescent="0.25">
      <c r="B93" s="15">
        <f>IF( Table2[[#This Row],[target_lang]] = "noted", 1, 0)</f>
        <v>0</v>
      </c>
      <c r="C93" s="15">
        <f xml:space="preserve"> IF( Table2[[#This Row],[target_lang]] = "notedoc", 1, 0)</f>
        <v>0</v>
      </c>
      <c r="D93" s="18" t="s">
        <v>51</v>
      </c>
      <c r="E93" s="18" t="str">
        <f>IF( Table2[[#This Row],[label]] = "", "", IF( Table2[[#This Row],[origin]] = "notedoc",  Table2[[#This Row],[origin]],  "noted"))</f>
        <v/>
      </c>
      <c r="F93" s="26" t="s">
        <v>54</v>
      </c>
      <c r="G93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/>
      </c>
      <c r="H93" s="27"/>
      <c r="I93" s="28"/>
      <c r="J93" s="26"/>
      <c r="K93" s="29"/>
      <c r="L93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M93" s="35" t="str">
        <f>"" &amp;  IF(Table2[[#This Row],[hasUnsafeRegex]] = 0, Table2[[#This Row],[regexTermInput]], "(?:" &amp; Table2[[#This Row],[regexTermInput]] &amp; ")")</f>
        <v/>
      </c>
      <c r="N93" s="36">
        <f>IF( IFERROR( FIND("$", Table2[[#This Row],[unsafeRegexGuess]]), 0) &lt;=0, 0, 1)</f>
        <v>0</v>
      </c>
      <c r="O93" s="36">
        <f>IF( IFERROR( FIND("$", Table2[[#This Row],[anyRegexGuess]]), 0) &lt;=0, 0, 1)</f>
        <v>0</v>
      </c>
      <c r="P93" s="37" t="str">
        <f>SUBSTITUTE( SUBSTITUTE( SUBSTITUTE(SUBSTITUTE(Table2[[#This Row],[unsafeRegexGuess]], ")", "$"), "*", "$"), "+", "$"), "?", "$")</f>
        <v/>
      </c>
      <c r="Q93" s="37" t="str">
        <f xml:space="preserve"> SUBSTITUTE( SUBSTITUTE( SUBSTITUTE(Table2[[#This Row],[regexTermInput]], "(", "$"), "|", "$"), "^", "$")</f>
        <v/>
      </c>
      <c r="R93"/>
      <c r="S93"/>
      <c r="T93"/>
      <c r="U93"/>
      <c r="V93"/>
      <c r="W93"/>
      <c r="X93"/>
      <c r="Z93"/>
    </row>
    <row r="94" spans="2:26" x14ac:dyDescent="0.25">
      <c r="B94" s="15">
        <f>IF( Table2[[#This Row],[target_lang]] = "noted", 1, 0)</f>
        <v>1</v>
      </c>
      <c r="C94" s="15">
        <f xml:space="preserve"> IF( Table2[[#This Row],[target_lang]] = "notedoc", 1, 0)</f>
        <v>0</v>
      </c>
      <c r="D94" s="18" t="s">
        <v>51</v>
      </c>
      <c r="E94" s="18" t="str">
        <f>IF( Table2[[#This Row],[label]] = "", "", IF( Table2[[#This Row],[origin]] = "notedoc",  Table2[[#This Row],[origin]],  "noted"))</f>
        <v>noted</v>
      </c>
      <c r="F94" s="26" t="s">
        <v>54</v>
      </c>
      <c r="G94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g_tag_item_feeling_ok</v>
      </c>
      <c r="H94" s="27" t="s">
        <v>0</v>
      </c>
      <c r="I94" s="28" t="str">
        <f>Table2[[#This Row],[label]]</f>
        <v>CONSIDER</v>
      </c>
      <c r="J94" s="26" t="s">
        <v>256</v>
      </c>
      <c r="K94" s="29"/>
      <c r="L94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storage.type.class.${1:/downcase}._tag.item._feeling.ok.text.noted</v>
      </c>
      <c r="M94" s="17" t="str">
        <f>"" &amp;  IF(Table2[[#This Row],[hasUnsafeRegex]] = 0, Table2[[#This Row],[regexTermInput]], "(?:" &amp; Table2[[#This Row],[regexTermInput]] &amp; ")")</f>
        <v>CONSIDER</v>
      </c>
      <c r="N94" s="19">
        <f>IF( IFERROR( FIND("$", Table2[[#This Row],[unsafeRegexGuess]]), 0) &lt;=0, 0, 1)</f>
        <v>0</v>
      </c>
      <c r="O94" s="19">
        <f>IF( IFERROR( FIND("$", Table2[[#This Row],[anyRegexGuess]]), 0) &lt;=0, 0, 1)</f>
        <v>0</v>
      </c>
      <c r="P94" s="21" t="str">
        <f>SUBSTITUTE( SUBSTITUTE( SUBSTITUTE(SUBSTITUTE(Table2[[#This Row],[unsafeRegexGuess]], ")", "$"), "*", "$"), "+", "$"), "?", "$")</f>
        <v>CONSIDER</v>
      </c>
      <c r="Q94" s="21" t="str">
        <f xml:space="preserve"> SUBSTITUTE( SUBSTITUTE( SUBSTITUTE(Table2[[#This Row],[regexTermInput]], "(", "$"), "|", "$"), "^", "$")</f>
        <v>CONSIDER</v>
      </c>
      <c r="R94"/>
      <c r="S94"/>
      <c r="T94"/>
      <c r="U94"/>
      <c r="V94"/>
      <c r="W94"/>
      <c r="X94"/>
      <c r="Z94"/>
    </row>
    <row r="95" spans="2:26" x14ac:dyDescent="0.25">
      <c r="B95" s="15">
        <f>IF( Table2[[#This Row],[target_lang]] = "noted", 1, 0)</f>
        <v>1</v>
      </c>
      <c r="C95" s="15">
        <f xml:space="preserve"> IF( Table2[[#This Row],[target_lang]] = "notedoc", 1, 0)</f>
        <v>0</v>
      </c>
      <c r="D95" s="18" t="s">
        <v>43</v>
      </c>
      <c r="E95" s="18" t="str">
        <f>IF( Table2[[#This Row],[label]] = "", "", IF( Table2[[#This Row],[origin]] = "notedoc",  Table2[[#This Row],[origin]],  "noted"))</f>
        <v>noted</v>
      </c>
      <c r="F95" s="26" t="s">
        <v>54</v>
      </c>
      <c r="G95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g_tag_item_feeling_ok</v>
      </c>
      <c r="H95" s="27" t="s">
        <v>3</v>
      </c>
      <c r="I95" s="28" t="str">
        <f>Table2[[#This Row],[label]]</f>
        <v>IDEA</v>
      </c>
      <c r="J95" s="26" t="s">
        <v>256</v>
      </c>
      <c r="K95" s="29"/>
      <c r="L95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storage.type.class.${1:/downcase}._tag.item._feeling.ok.text.noted</v>
      </c>
      <c r="M95" s="17" t="str">
        <f>"" &amp;  IF(Table2[[#This Row],[hasUnsafeRegex]] = 0, Table2[[#This Row],[regexTermInput]], "(?:" &amp; Table2[[#This Row],[regexTermInput]] &amp; ")")</f>
        <v>IDEA</v>
      </c>
      <c r="N95" s="19">
        <f>IF( IFERROR( FIND("$", Table2[[#This Row],[unsafeRegexGuess]]), 0) &lt;=0, 0, 1)</f>
        <v>0</v>
      </c>
      <c r="O95" s="19">
        <f>IF( IFERROR( FIND("$", Table2[[#This Row],[anyRegexGuess]]), 0) &lt;=0, 0, 1)</f>
        <v>0</v>
      </c>
      <c r="P95" s="21" t="str">
        <f>SUBSTITUTE( SUBSTITUTE( SUBSTITUTE(SUBSTITUTE(Table2[[#This Row],[unsafeRegexGuess]], ")", "$"), "*", "$"), "+", "$"), "?", "$")</f>
        <v>IDEA</v>
      </c>
      <c r="Q95" s="21" t="str">
        <f xml:space="preserve"> SUBSTITUTE( SUBSTITUTE( SUBSTITUTE(Table2[[#This Row],[regexTermInput]], "(", "$"), "|", "$"), "^", "$")</f>
        <v>IDEA</v>
      </c>
      <c r="R95"/>
      <c r="S95"/>
      <c r="T95"/>
      <c r="U95"/>
      <c r="V95"/>
      <c r="W95"/>
      <c r="X95"/>
      <c r="Z95"/>
    </row>
    <row r="96" spans="2:26" x14ac:dyDescent="0.25">
      <c r="B96" s="15">
        <f>IF( Table2[[#This Row],[target_lang]] = "noted", 1, 0)</f>
        <v>1</v>
      </c>
      <c r="C96" s="15">
        <f xml:space="preserve"> IF( Table2[[#This Row],[target_lang]] = "notedoc", 1, 0)</f>
        <v>0</v>
      </c>
      <c r="D96" s="18" t="s">
        <v>43</v>
      </c>
      <c r="E96" s="18" t="str">
        <f>IF( Table2[[#This Row],[label]] = "", "", IF( Table2[[#This Row],[origin]] = "notedoc",  Table2[[#This Row],[origin]],  "noted"))</f>
        <v>noted</v>
      </c>
      <c r="F96" s="26" t="s">
        <v>54</v>
      </c>
      <c r="G96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g_tag_item_feeling_ok</v>
      </c>
      <c r="H96" s="27" t="s">
        <v>6</v>
      </c>
      <c r="I96" s="28" t="str">
        <f>Table2[[#This Row],[label]]</f>
        <v>NB</v>
      </c>
      <c r="J96" s="26" t="s">
        <v>256</v>
      </c>
      <c r="K96" s="29"/>
      <c r="L96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storage.type.class.${1:/downcase}._tag.item._feeling.ok.text.noted</v>
      </c>
      <c r="M96" s="17" t="str">
        <f>"" &amp;  IF(Table2[[#This Row],[hasUnsafeRegex]] = 0, Table2[[#This Row],[regexTermInput]], "(?:" &amp; Table2[[#This Row],[regexTermInput]] &amp; ")")</f>
        <v>NB</v>
      </c>
      <c r="N96" s="19">
        <f>IF( IFERROR( FIND("$", Table2[[#This Row],[unsafeRegexGuess]]), 0) &lt;=0, 0, 1)</f>
        <v>0</v>
      </c>
      <c r="O96" s="19">
        <f>IF( IFERROR( FIND("$", Table2[[#This Row],[anyRegexGuess]]), 0) &lt;=0, 0, 1)</f>
        <v>0</v>
      </c>
      <c r="P96" s="21" t="str">
        <f>SUBSTITUTE( SUBSTITUTE( SUBSTITUTE(SUBSTITUTE(Table2[[#This Row],[unsafeRegexGuess]], ")", "$"), "*", "$"), "+", "$"), "?", "$")</f>
        <v>NB</v>
      </c>
      <c r="Q96" s="21" t="str">
        <f xml:space="preserve"> SUBSTITUTE( SUBSTITUTE( SUBSTITUTE(Table2[[#This Row],[regexTermInput]], "(", "$"), "|", "$"), "^", "$")</f>
        <v>NB</v>
      </c>
      <c r="R96"/>
      <c r="S96"/>
      <c r="T96"/>
      <c r="U96"/>
      <c r="V96"/>
      <c r="W96"/>
      <c r="X96"/>
      <c r="Z96"/>
    </row>
    <row r="97" spans="2:26" x14ac:dyDescent="0.25">
      <c r="B97" s="15">
        <f>IF( Table2[[#This Row],[target_lang]] = "noted", 1, 0)</f>
        <v>1</v>
      </c>
      <c r="C97" s="15">
        <f xml:space="preserve"> IF( Table2[[#This Row],[target_lang]] = "notedoc", 1, 0)</f>
        <v>0</v>
      </c>
      <c r="D97" s="18" t="s">
        <v>43</v>
      </c>
      <c r="E97" s="18" t="str">
        <f>IF( Table2[[#This Row],[label]] = "", "", IF( Table2[[#This Row],[origin]] = "notedoc",  Table2[[#This Row],[origin]],  "noted"))</f>
        <v>noted</v>
      </c>
      <c r="F97" s="26" t="s">
        <v>54</v>
      </c>
      <c r="G97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g_tag_item_feeling_ok</v>
      </c>
      <c r="H97" s="27" t="s">
        <v>7</v>
      </c>
      <c r="I97" s="28" t="str">
        <f>Table2[[#This Row],[label]]</f>
        <v>NOTE</v>
      </c>
      <c r="J97" s="26" t="s">
        <v>256</v>
      </c>
      <c r="K97" s="29"/>
      <c r="L97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storage.type.class.${1:/downcase}._tag.item._feeling.ok.text.noted</v>
      </c>
      <c r="M97" s="17" t="str">
        <f>"" &amp;  IF(Table2[[#This Row],[hasUnsafeRegex]] = 0, Table2[[#This Row],[regexTermInput]], "(?:" &amp; Table2[[#This Row],[regexTermInput]] &amp; ")")</f>
        <v>NOTE</v>
      </c>
      <c r="N97" s="19">
        <f>IF( IFERROR( FIND("$", Table2[[#This Row],[unsafeRegexGuess]]), 0) &lt;=0, 0, 1)</f>
        <v>0</v>
      </c>
      <c r="O97" s="19">
        <f>IF( IFERROR( FIND("$", Table2[[#This Row],[anyRegexGuess]]), 0) &lt;=0, 0, 1)</f>
        <v>0</v>
      </c>
      <c r="P97" s="21" t="str">
        <f>SUBSTITUTE( SUBSTITUTE( SUBSTITUTE(SUBSTITUTE(Table2[[#This Row],[unsafeRegexGuess]], ")", "$"), "*", "$"), "+", "$"), "?", "$")</f>
        <v>NOTE</v>
      </c>
      <c r="Q97" s="21" t="str">
        <f xml:space="preserve"> SUBSTITUTE( SUBSTITUTE( SUBSTITUTE(Table2[[#This Row],[regexTermInput]], "(", "$"), "|", "$"), "^", "$")</f>
        <v>NOTE</v>
      </c>
      <c r="R97"/>
      <c r="S97"/>
      <c r="T97"/>
      <c r="U97"/>
      <c r="V97"/>
      <c r="W97"/>
      <c r="X97"/>
      <c r="Z97"/>
    </row>
    <row r="98" spans="2:26" x14ac:dyDescent="0.25">
      <c r="B98" s="15">
        <f>IF( Table2[[#This Row],[target_lang]] = "noted", 1, 0)</f>
        <v>1</v>
      </c>
      <c r="C98" s="15">
        <f xml:space="preserve"> IF( Table2[[#This Row],[target_lang]] = "notedoc", 1, 0)</f>
        <v>0</v>
      </c>
      <c r="D98" s="18" t="s">
        <v>51</v>
      </c>
      <c r="E98" s="18" t="str">
        <f>IF( Table2[[#This Row],[label]] = "", "", IF( Table2[[#This Row],[origin]] = "notedoc",  Table2[[#This Row],[origin]],  "noted"))</f>
        <v>noted</v>
      </c>
      <c r="F98" s="26" t="s">
        <v>54</v>
      </c>
      <c r="G98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g_tag_item_feeling_ok</v>
      </c>
      <c r="H98" s="27" t="s">
        <v>8</v>
      </c>
      <c r="I98" s="28" t="str">
        <f>Table2[[#This Row],[label]]</f>
        <v>PS</v>
      </c>
      <c r="J98" s="26" t="s">
        <v>256</v>
      </c>
      <c r="K98" s="29"/>
      <c r="L98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storage.type.class.${1:/downcase}._tag.item._feeling.ok.text.noted</v>
      </c>
      <c r="M98" s="17" t="str">
        <f>"" &amp;  IF(Table2[[#This Row],[hasUnsafeRegex]] = 0, Table2[[#This Row],[regexTermInput]], "(?:" &amp; Table2[[#This Row],[regexTermInput]] &amp; ")")</f>
        <v>PS</v>
      </c>
      <c r="N98" s="19">
        <f>IF( IFERROR( FIND("$", Table2[[#This Row],[unsafeRegexGuess]]), 0) &lt;=0, 0, 1)</f>
        <v>0</v>
      </c>
      <c r="O98" s="19">
        <f>IF( IFERROR( FIND("$", Table2[[#This Row],[anyRegexGuess]]), 0) &lt;=0, 0, 1)</f>
        <v>0</v>
      </c>
      <c r="P98" s="21" t="str">
        <f>SUBSTITUTE( SUBSTITUTE( SUBSTITUTE(SUBSTITUTE(Table2[[#This Row],[unsafeRegexGuess]], ")", "$"), "*", "$"), "+", "$"), "?", "$")</f>
        <v>PS</v>
      </c>
      <c r="Q98" s="21" t="str">
        <f xml:space="preserve"> SUBSTITUTE( SUBSTITUTE( SUBSTITUTE(Table2[[#This Row],[regexTermInput]], "(", "$"), "|", "$"), "^", "$")</f>
        <v>PS</v>
      </c>
      <c r="R98"/>
      <c r="S98"/>
      <c r="T98"/>
      <c r="U98"/>
      <c r="V98"/>
      <c r="W98"/>
      <c r="X98"/>
      <c r="Z98"/>
    </row>
    <row r="99" spans="2:26" x14ac:dyDescent="0.25">
      <c r="B99" s="15">
        <f>IF( Table2[[#This Row],[target_lang]] = "noted", 1, 0)</f>
        <v>1</v>
      </c>
      <c r="C99" s="15">
        <f xml:space="preserve"> IF( Table2[[#This Row],[target_lang]] = "notedoc", 1, 0)</f>
        <v>0</v>
      </c>
      <c r="D99" s="18" t="s">
        <v>43</v>
      </c>
      <c r="E99" s="18" t="str">
        <f>IF( Table2[[#This Row],[label]] = "", "", IF( Table2[[#This Row],[origin]] = "notedoc",  Table2[[#This Row],[origin]],  "noted"))</f>
        <v>noted</v>
      </c>
      <c r="F99" s="26" t="s">
        <v>54</v>
      </c>
      <c r="G99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g_tag_item_feeling_ok</v>
      </c>
      <c r="H99" s="27" t="s">
        <v>9</v>
      </c>
      <c r="I99" s="28" t="str">
        <f>Table2[[#This Row],[label]]</f>
        <v>QUESTION</v>
      </c>
      <c r="J99" s="26" t="s">
        <v>256</v>
      </c>
      <c r="K99" s="29"/>
      <c r="L99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storage.type.class.${1:/downcase}._tag.item._feeling.ok.text.noted</v>
      </c>
      <c r="M99" s="17" t="str">
        <f>"" &amp;  IF(Table2[[#This Row],[hasUnsafeRegex]] = 0, Table2[[#This Row],[regexTermInput]], "(?:" &amp; Table2[[#This Row],[regexTermInput]] &amp; ")")</f>
        <v>QUESTION</v>
      </c>
      <c r="N99" s="19">
        <f>IF( IFERROR( FIND("$", Table2[[#This Row],[unsafeRegexGuess]]), 0) &lt;=0, 0, 1)</f>
        <v>0</v>
      </c>
      <c r="O99" s="19">
        <f>IF( IFERROR( FIND("$", Table2[[#This Row],[anyRegexGuess]]), 0) &lt;=0, 0, 1)</f>
        <v>0</v>
      </c>
      <c r="P99" s="21" t="str">
        <f>SUBSTITUTE( SUBSTITUTE( SUBSTITUTE(SUBSTITUTE(Table2[[#This Row],[unsafeRegexGuess]], ")", "$"), "*", "$"), "+", "$"), "?", "$")</f>
        <v>QUESTION</v>
      </c>
      <c r="Q99" s="21" t="str">
        <f xml:space="preserve"> SUBSTITUTE( SUBSTITUTE( SUBSTITUTE(Table2[[#This Row],[regexTermInput]], "(", "$"), "|", "$"), "^", "$")</f>
        <v>QUESTION</v>
      </c>
      <c r="R99"/>
      <c r="S99"/>
      <c r="T99"/>
      <c r="U99"/>
      <c r="V99"/>
      <c r="W99"/>
      <c r="X99"/>
      <c r="Z99"/>
    </row>
    <row r="100" spans="2:26" x14ac:dyDescent="0.25">
      <c r="B100" s="15">
        <f>IF( Table2[[#This Row],[target_lang]] = "noted", 1, 0)</f>
        <v>1</v>
      </c>
      <c r="C100" s="15">
        <f xml:space="preserve"> IF( Table2[[#This Row],[target_lang]] = "notedoc", 1, 0)</f>
        <v>0</v>
      </c>
      <c r="D100" s="18" t="s">
        <v>48</v>
      </c>
      <c r="E100" s="18" t="str">
        <f>IF( Table2[[#This Row],[label]] = "", "", IF( Table2[[#This Row],[origin]] = "notedoc",  Table2[[#This Row],[origin]],  "noted"))</f>
        <v>noted</v>
      </c>
      <c r="F100" s="26" t="s">
        <v>54</v>
      </c>
      <c r="G100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g_tag_item_feeling_ok</v>
      </c>
      <c r="H100" s="27" t="s">
        <v>10</v>
      </c>
      <c r="I100" s="28" t="str">
        <f>Table2[[#This Row],[label]]</f>
        <v>TASK</v>
      </c>
      <c r="J100" s="26" t="s">
        <v>256</v>
      </c>
      <c r="K100" s="29"/>
      <c r="L100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storage.type.class.${1:/downcase}._tag.item._feeling.ok.text.noted</v>
      </c>
      <c r="M100" s="17" t="str">
        <f>"" &amp;  IF(Table2[[#This Row],[hasUnsafeRegex]] = 0, Table2[[#This Row],[regexTermInput]], "(?:" &amp; Table2[[#This Row],[regexTermInput]] &amp; ")")</f>
        <v>TASK</v>
      </c>
      <c r="N100" s="19">
        <f>IF( IFERROR( FIND("$", Table2[[#This Row],[unsafeRegexGuess]]), 0) &lt;=0, 0, 1)</f>
        <v>0</v>
      </c>
      <c r="O100" s="19">
        <f>IF( IFERROR( FIND("$", Table2[[#This Row],[anyRegexGuess]]), 0) &lt;=0, 0, 1)</f>
        <v>0</v>
      </c>
      <c r="P100" s="21" t="str">
        <f>SUBSTITUTE( SUBSTITUTE( SUBSTITUTE(SUBSTITUTE(Table2[[#This Row],[unsafeRegexGuess]], ")", "$"), "*", "$"), "+", "$"), "?", "$")</f>
        <v>TASK</v>
      </c>
      <c r="Q100" s="21" t="str">
        <f xml:space="preserve"> SUBSTITUTE( SUBSTITUTE( SUBSTITUTE(Table2[[#This Row],[regexTermInput]], "(", "$"), "|", "$"), "^", "$")</f>
        <v>TASK</v>
      </c>
      <c r="R100"/>
      <c r="S100"/>
      <c r="T100"/>
      <c r="U100"/>
      <c r="V100"/>
      <c r="W100"/>
      <c r="X100"/>
      <c r="Z100"/>
    </row>
    <row r="101" spans="2:26" x14ac:dyDescent="0.25">
      <c r="B101" s="15">
        <f>IF( Table2[[#This Row],[target_lang]] = "noted", 1, 0)</f>
        <v>1</v>
      </c>
      <c r="C101" s="15">
        <f xml:space="preserve"> IF( Table2[[#This Row],[target_lang]] = "notedoc", 1, 0)</f>
        <v>0</v>
      </c>
      <c r="D101" s="18" t="s">
        <v>51</v>
      </c>
      <c r="E101" s="18" t="str">
        <f>IF( Table2[[#This Row],[label]] = "", "", IF( Table2[[#This Row],[origin]] = "notedoc",  Table2[[#This Row],[origin]],  "noted"))</f>
        <v>noted</v>
      </c>
      <c r="F101" s="26" t="s">
        <v>54</v>
      </c>
      <c r="G101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g_tag_item_feeling_ok</v>
      </c>
      <c r="H101" s="27" t="s">
        <v>45</v>
      </c>
      <c r="I101" s="28" t="str">
        <f>Table2[[#This Row],[label]]</f>
        <v>TBD</v>
      </c>
      <c r="J101" s="26" t="s">
        <v>256</v>
      </c>
      <c r="K101" s="29"/>
      <c r="L101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storage.type.class.${1:/downcase}._tag.item._feeling.ok.text.noted</v>
      </c>
      <c r="M101" s="17" t="str">
        <f>"" &amp;  IF(Table2[[#This Row],[hasUnsafeRegex]] = 0, Table2[[#This Row],[regexTermInput]], "(?:" &amp; Table2[[#This Row],[regexTermInput]] &amp; ")")</f>
        <v>TBD</v>
      </c>
      <c r="N101" s="19">
        <f>IF( IFERROR( FIND("$", Table2[[#This Row],[unsafeRegexGuess]]), 0) &lt;=0, 0, 1)</f>
        <v>0</v>
      </c>
      <c r="O101" s="19">
        <f>IF( IFERROR( FIND("$", Table2[[#This Row],[anyRegexGuess]]), 0) &lt;=0, 0, 1)</f>
        <v>0</v>
      </c>
      <c r="P101" s="21" t="str">
        <f>SUBSTITUTE( SUBSTITUTE( SUBSTITUTE(SUBSTITUTE(Table2[[#This Row],[unsafeRegexGuess]], ")", "$"), "*", "$"), "+", "$"), "?", "$")</f>
        <v>TBD</v>
      </c>
      <c r="Q101" s="21" t="str">
        <f xml:space="preserve"> SUBSTITUTE( SUBSTITUTE( SUBSTITUTE(Table2[[#This Row],[regexTermInput]], "(", "$"), "|", "$"), "^", "$")</f>
        <v>TBD</v>
      </c>
      <c r="R101"/>
      <c r="S101"/>
      <c r="T101"/>
      <c r="U101"/>
      <c r="V101"/>
      <c r="W101"/>
      <c r="X101"/>
      <c r="Z101"/>
    </row>
    <row r="102" spans="2:26" x14ac:dyDescent="0.25">
      <c r="B102" s="15">
        <f>IF( Table2[[#This Row],[target_lang]] = "noted", 1, 0)</f>
        <v>1</v>
      </c>
      <c r="C102" s="15">
        <f xml:space="preserve"> IF( Table2[[#This Row],[target_lang]] = "notedoc", 1, 0)</f>
        <v>0</v>
      </c>
      <c r="D102" s="18" t="s">
        <v>51</v>
      </c>
      <c r="E102" s="18" t="str">
        <f>IF( Table2[[#This Row],[label]] = "", "", IF( Table2[[#This Row],[origin]] = "notedoc",  Table2[[#This Row],[origin]],  "noted"))</f>
        <v>noted</v>
      </c>
      <c r="F102" s="26" t="s">
        <v>54</v>
      </c>
      <c r="G102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g_tag_item_feeling_ok</v>
      </c>
      <c r="H102" s="27" t="s">
        <v>46</v>
      </c>
      <c r="I102" s="28" t="str">
        <f>Table2[[#This Row],[label]]</f>
        <v>TBS</v>
      </c>
      <c r="J102" s="26" t="s">
        <v>256</v>
      </c>
      <c r="K102" s="29"/>
      <c r="L102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storage.type.class.${1:/downcase}._tag.item._feeling.ok.text.noted</v>
      </c>
      <c r="M102" s="17" t="str">
        <f>"" &amp;  IF(Table2[[#This Row],[hasUnsafeRegex]] = 0, Table2[[#This Row],[regexTermInput]], "(?:" &amp; Table2[[#This Row],[regexTermInput]] &amp; ")")</f>
        <v>TBS</v>
      </c>
      <c r="N102" s="19">
        <f>IF( IFERROR( FIND("$", Table2[[#This Row],[unsafeRegexGuess]]), 0) &lt;=0, 0, 1)</f>
        <v>0</v>
      </c>
      <c r="O102" s="19">
        <f>IF( IFERROR( FIND("$", Table2[[#This Row],[anyRegexGuess]]), 0) &lt;=0, 0, 1)</f>
        <v>0</v>
      </c>
      <c r="P102" s="21" t="str">
        <f>SUBSTITUTE( SUBSTITUTE( SUBSTITUTE(SUBSTITUTE(Table2[[#This Row],[unsafeRegexGuess]], ")", "$"), "*", "$"), "+", "$"), "?", "$")</f>
        <v>TBS</v>
      </c>
      <c r="Q102" s="21" t="str">
        <f xml:space="preserve"> SUBSTITUTE( SUBSTITUTE( SUBSTITUTE(Table2[[#This Row],[regexTermInput]], "(", "$"), "|", "$"), "^", "$")</f>
        <v>TBS</v>
      </c>
      <c r="R102"/>
      <c r="S102"/>
      <c r="T102"/>
      <c r="U102"/>
      <c r="V102"/>
      <c r="W102"/>
      <c r="X102"/>
      <c r="Z102"/>
    </row>
    <row r="103" spans="2:26" x14ac:dyDescent="0.25">
      <c r="B103" s="15">
        <f>IF( Table2[[#This Row],[target_lang]] = "noted", 1, 0)</f>
        <v>1</v>
      </c>
      <c r="C103" s="15">
        <f xml:space="preserve"> IF( Table2[[#This Row],[target_lang]] = "notedoc", 1, 0)</f>
        <v>0</v>
      </c>
      <c r="D103" s="18" t="s">
        <v>43</v>
      </c>
      <c r="E103" s="18" t="str">
        <f>IF( Table2[[#This Row],[label]] = "", "", IF( Table2[[#This Row],[origin]] = "notedoc",  Table2[[#This Row],[origin]],  "noted"))</f>
        <v>noted</v>
      </c>
      <c r="F103" s="26" t="s">
        <v>54</v>
      </c>
      <c r="G103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g_tag_item_feeling_ok</v>
      </c>
      <c r="H103" s="27" t="s">
        <v>22</v>
      </c>
      <c r="I103" s="28" t="str">
        <f>Table2[[#This Row],[label]]</f>
        <v>TODO</v>
      </c>
      <c r="J103" s="26" t="s">
        <v>256</v>
      </c>
      <c r="K103" s="29"/>
      <c r="L103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storage.type.class.${1:/downcase}._tag.item._feeling.ok.text.noted</v>
      </c>
      <c r="M103" s="17" t="str">
        <f>"" &amp;  IF(Table2[[#This Row],[hasUnsafeRegex]] = 0, Table2[[#This Row],[regexTermInput]], "(?:" &amp; Table2[[#This Row],[regexTermInput]] &amp; ")")</f>
        <v>TODO</v>
      </c>
      <c r="N103" s="19">
        <f>IF( IFERROR( FIND("$", Table2[[#This Row],[unsafeRegexGuess]]), 0) &lt;=0, 0, 1)</f>
        <v>0</v>
      </c>
      <c r="O103" s="19">
        <f>IF( IFERROR( FIND("$", Table2[[#This Row],[anyRegexGuess]]), 0) &lt;=0, 0, 1)</f>
        <v>0</v>
      </c>
      <c r="P103" s="21" t="str">
        <f>SUBSTITUTE( SUBSTITUTE( SUBSTITUTE(SUBSTITUTE(Table2[[#This Row],[unsafeRegexGuess]], ")", "$"), "*", "$"), "+", "$"), "?", "$")</f>
        <v>TODO</v>
      </c>
      <c r="Q103" s="21" t="str">
        <f xml:space="preserve"> SUBSTITUTE( SUBSTITUTE( SUBSTITUTE(Table2[[#This Row],[regexTermInput]], "(", "$"), "|", "$"), "^", "$")</f>
        <v>TODO</v>
      </c>
      <c r="R103"/>
      <c r="S103"/>
      <c r="T103"/>
      <c r="U103"/>
      <c r="V103"/>
      <c r="W103"/>
      <c r="X103"/>
      <c r="Z103"/>
    </row>
    <row r="104" spans="2:26" x14ac:dyDescent="0.25">
      <c r="B104" s="15">
        <f>IF( Table2[[#This Row],[target_lang]] = "noted", 1, 0)</f>
        <v>1</v>
      </c>
      <c r="C104" s="15">
        <f xml:space="preserve"> IF( Table2[[#This Row],[target_lang]] = "notedoc", 1, 0)</f>
        <v>0</v>
      </c>
      <c r="D104" s="18" t="s">
        <v>51</v>
      </c>
      <c r="E104" s="18" t="str">
        <f>IF( Table2[[#This Row],[label]] = "", "", IF( Table2[[#This Row],[origin]] = "notedoc",  Table2[[#This Row],[origin]],  "noted"))</f>
        <v>noted</v>
      </c>
      <c r="F104" s="26" t="s">
        <v>54</v>
      </c>
      <c r="G104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g_tag_item_feeling_ok</v>
      </c>
      <c r="H104" s="27" t="s">
        <v>44</v>
      </c>
      <c r="I104" s="28" t="str">
        <f>Table2[[#This Row],[label]]</f>
        <v>TODOC</v>
      </c>
      <c r="J104" s="26" t="s">
        <v>256</v>
      </c>
      <c r="K104" s="29"/>
      <c r="L104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storage.type.class.${1:/downcase}._tag.item._feeling.ok.text.noted</v>
      </c>
      <c r="M104" s="17" t="str">
        <f>"" &amp;  IF(Table2[[#This Row],[hasUnsafeRegex]] = 0, Table2[[#This Row],[regexTermInput]], "(?:" &amp; Table2[[#This Row],[regexTermInput]] &amp; ")")</f>
        <v>TODOC</v>
      </c>
      <c r="N104" s="19">
        <f>IF( IFERROR( FIND("$", Table2[[#This Row],[unsafeRegexGuess]]), 0) &lt;=0, 0, 1)</f>
        <v>0</v>
      </c>
      <c r="O104" s="19">
        <f>IF( IFERROR( FIND("$", Table2[[#This Row],[anyRegexGuess]]), 0) &lt;=0, 0, 1)</f>
        <v>0</v>
      </c>
      <c r="P104" s="21" t="str">
        <f>SUBSTITUTE( SUBSTITUTE( SUBSTITUTE(SUBSTITUTE(Table2[[#This Row],[unsafeRegexGuess]], ")", "$"), "*", "$"), "+", "$"), "?", "$")</f>
        <v>TODOC</v>
      </c>
      <c r="Q104" s="21" t="str">
        <f xml:space="preserve"> SUBSTITUTE( SUBSTITUTE( SUBSTITUTE(Table2[[#This Row],[regexTermInput]], "(", "$"), "|", "$"), "^", "$")</f>
        <v>TODOC</v>
      </c>
      <c r="R104"/>
      <c r="S104"/>
      <c r="T104"/>
      <c r="U104"/>
      <c r="V104"/>
      <c r="W104"/>
      <c r="X104"/>
      <c r="Z104"/>
    </row>
    <row r="105" spans="2:26" ht="16" customHeight="1" x14ac:dyDescent="0.25">
      <c r="B105" s="15">
        <f>IF( Table2[[#This Row],[target_lang]] = "noted", 1, 0)</f>
        <v>0</v>
      </c>
      <c r="C105" s="15">
        <f xml:space="preserve"> IF( Table2[[#This Row],[target_lang]] = "notedoc", 1, 0)</f>
        <v>0</v>
      </c>
      <c r="D105" s="18" t="s">
        <v>51</v>
      </c>
      <c r="E105" s="18" t="str">
        <f>IF( Table2[[#This Row],[label]] = "", "", IF( Table2[[#This Row],[origin]] = "notedoc",  Table2[[#This Row],[origin]],  "noted"))</f>
        <v/>
      </c>
      <c r="F105" s="26" t="s">
        <v>55</v>
      </c>
      <c r="G105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/>
      </c>
      <c r="H105" s="27" t="str">
        <f>""</f>
        <v/>
      </c>
      <c r="I105" s="28" t="str">
        <f>Table2[[#This Row],[label]]</f>
        <v/>
      </c>
      <c r="J105" s="26" t="str">
        <f>""</f>
        <v/>
      </c>
      <c r="K105" s="29" t="str">
        <f>""</f>
        <v/>
      </c>
      <c r="L105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M105" s="17" t="str">
        <f>"" &amp;  IF(Table2[[#This Row],[hasUnsafeRegex]] = 0, Table2[[#This Row],[regexTermInput]], "(?:" &amp; Table2[[#This Row],[regexTermInput]] &amp; ")")</f>
        <v/>
      </c>
      <c r="N105" s="19">
        <f>IF( IFERROR( FIND("$", Table2[[#This Row],[unsafeRegexGuess]]), 0) &lt;=0, 0, 1)</f>
        <v>0</v>
      </c>
      <c r="O105" s="19">
        <f>IF( IFERROR( FIND("$", Table2[[#This Row],[anyRegexGuess]]), 0) &lt;=0, 0, 1)</f>
        <v>0</v>
      </c>
      <c r="P105" s="21" t="str">
        <f>SUBSTITUTE( SUBSTITUTE( SUBSTITUTE(SUBSTITUTE(Table2[[#This Row],[unsafeRegexGuess]], ")", "$"), "*", "$"), "+", "$"), "?", "$")</f>
        <v/>
      </c>
      <c r="Q105" s="21" t="str">
        <f xml:space="preserve"> SUBSTITUTE( SUBSTITUTE( SUBSTITUTE(Table2[[#This Row],[regexTermInput]], "(", "$"), "|", "$"), "^", "$")</f>
        <v/>
      </c>
      <c r="R105"/>
      <c r="S105"/>
      <c r="T105"/>
      <c r="U105"/>
      <c r="V105"/>
      <c r="W105"/>
      <c r="X105"/>
      <c r="Z105"/>
    </row>
    <row r="106" spans="2:26" x14ac:dyDescent="0.25">
      <c r="B106" s="15">
        <f>IF( Table2[[#This Row],[target_lang]] = "noted", 1, 0)</f>
        <v>1</v>
      </c>
      <c r="C106" s="15">
        <f xml:space="preserve"> IF( Table2[[#This Row],[target_lang]] = "notedoc", 1, 0)</f>
        <v>0</v>
      </c>
      <c r="D106" s="18" t="s">
        <v>51</v>
      </c>
      <c r="E106" s="18" t="str">
        <f>IF( Table2[[#This Row],[label]] = "", "", IF( Table2[[#This Row],[origin]] = "notedoc",  Table2[[#This Row],[origin]],  "noted"))</f>
        <v>noted</v>
      </c>
      <c r="F106" s="26" t="s">
        <v>55</v>
      </c>
      <c r="G106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g_tag_loglevel_feeling_bad</v>
      </c>
      <c r="H106" s="27" t="s">
        <v>103</v>
      </c>
      <c r="I106" s="28" t="str">
        <f>Table2[[#This Row],[label]]</f>
        <v>ALERT</v>
      </c>
      <c r="J106" s="26" t="s">
        <v>65</v>
      </c>
      <c r="K106" s="29"/>
      <c r="L106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storage.type.class.${1:/downcase}._tag.loglevel._feeling.bad.text.noted</v>
      </c>
      <c r="M106" s="17" t="str">
        <f>"" &amp;  IF(Table2[[#This Row],[hasUnsafeRegex]] = 0, Table2[[#This Row],[regexTermInput]], "(?:" &amp; Table2[[#This Row],[regexTermInput]] &amp; ")")</f>
        <v>ALERT</v>
      </c>
      <c r="N106" s="19">
        <f>IF( IFERROR( FIND("$", Table2[[#This Row],[unsafeRegexGuess]]), 0) &lt;=0, 0, 1)</f>
        <v>0</v>
      </c>
      <c r="O106" s="19">
        <f>IF( IFERROR( FIND("$", Table2[[#This Row],[anyRegexGuess]]), 0) &lt;=0, 0, 1)</f>
        <v>0</v>
      </c>
      <c r="P106" s="21" t="str">
        <f>SUBSTITUTE( SUBSTITUTE( SUBSTITUTE(SUBSTITUTE(Table2[[#This Row],[unsafeRegexGuess]], ")", "$"), "*", "$"), "+", "$"), "?", "$")</f>
        <v>ALERT</v>
      </c>
      <c r="Q106" s="21" t="str">
        <f xml:space="preserve"> SUBSTITUTE( SUBSTITUTE( SUBSTITUTE(Table2[[#This Row],[regexTermInput]], "(", "$"), "|", "$"), "^", "$")</f>
        <v>ALERT</v>
      </c>
      <c r="R106"/>
      <c r="S106"/>
      <c r="T106"/>
      <c r="U106"/>
      <c r="V106"/>
      <c r="W106"/>
      <c r="X106"/>
      <c r="Z106"/>
    </row>
    <row r="107" spans="2:26" x14ac:dyDescent="0.25">
      <c r="B107" s="15">
        <f>IF( Table2[[#This Row],[target_lang]] = "noted", 1, 0)</f>
        <v>1</v>
      </c>
      <c r="C107" s="15">
        <f xml:space="preserve"> IF( Table2[[#This Row],[target_lang]] = "notedoc", 1, 0)</f>
        <v>0</v>
      </c>
      <c r="D107" s="18" t="s">
        <v>51</v>
      </c>
      <c r="E107" s="18" t="str">
        <f>IF( Table2[[#This Row],[label]] = "", "", IF( Table2[[#This Row],[origin]] = "notedoc",  Table2[[#This Row],[origin]],  "noted"))</f>
        <v>noted</v>
      </c>
      <c r="F107" s="26" t="s">
        <v>55</v>
      </c>
      <c r="G107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g_tag_loglevel_feeling_bad</v>
      </c>
      <c r="H107" s="27" t="s">
        <v>66</v>
      </c>
      <c r="I107" s="28" t="str">
        <f>Table2[[#This Row],[label]]</f>
        <v>CRITICAL</v>
      </c>
      <c r="J107" s="26" t="s">
        <v>65</v>
      </c>
      <c r="K107" s="29"/>
      <c r="L107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storage.type.class.${1:/downcase}._tag.loglevel._feeling.bad.text.noted</v>
      </c>
      <c r="M107" s="17" t="str">
        <f>"" &amp;  IF(Table2[[#This Row],[hasUnsafeRegex]] = 0, Table2[[#This Row],[regexTermInput]], "(?:" &amp; Table2[[#This Row],[regexTermInput]] &amp; ")")</f>
        <v>CRITICAL</v>
      </c>
      <c r="N107" s="19">
        <f>IF( IFERROR( FIND("$", Table2[[#This Row],[unsafeRegexGuess]]), 0) &lt;=0, 0, 1)</f>
        <v>0</v>
      </c>
      <c r="O107" s="19">
        <f>IF( IFERROR( FIND("$", Table2[[#This Row],[anyRegexGuess]]), 0) &lt;=0, 0, 1)</f>
        <v>0</v>
      </c>
      <c r="P107" s="21" t="str">
        <f>SUBSTITUTE( SUBSTITUTE( SUBSTITUTE(SUBSTITUTE(Table2[[#This Row],[unsafeRegexGuess]], ")", "$"), "*", "$"), "+", "$"), "?", "$")</f>
        <v>CRITICAL</v>
      </c>
      <c r="Q107" s="21" t="str">
        <f xml:space="preserve"> SUBSTITUTE( SUBSTITUTE( SUBSTITUTE(Table2[[#This Row],[regexTermInput]], "(", "$"), "|", "$"), "^", "$")</f>
        <v>CRITICAL</v>
      </c>
      <c r="R107"/>
      <c r="S107"/>
      <c r="T107"/>
      <c r="U107"/>
      <c r="V107"/>
      <c r="W107"/>
      <c r="X107"/>
      <c r="Z107"/>
    </row>
    <row r="108" spans="2:26" x14ac:dyDescent="0.25">
      <c r="B108" s="15">
        <f>IF( Table2[[#This Row],[target_lang]] = "noted", 1, 0)</f>
        <v>1</v>
      </c>
      <c r="C108" s="15">
        <f xml:space="preserve"> IF( Table2[[#This Row],[target_lang]] = "notedoc", 1, 0)</f>
        <v>0</v>
      </c>
      <c r="D108" s="18" t="s">
        <v>51</v>
      </c>
      <c r="E108" s="18" t="str">
        <f>IF( Table2[[#This Row],[label]] = "", "", IF( Table2[[#This Row],[origin]] = "notedoc",  Table2[[#This Row],[origin]],  "noted"))</f>
        <v>noted</v>
      </c>
      <c r="F108" s="26" t="s">
        <v>55</v>
      </c>
      <c r="G108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g_tag_loglevel_feeling_bad</v>
      </c>
      <c r="H108" s="27" t="s">
        <v>104</v>
      </c>
      <c r="I108" s="28" t="str">
        <f>Table2[[#This Row],[label]]</f>
        <v>EMERGENCY</v>
      </c>
      <c r="J108" s="26" t="s">
        <v>65</v>
      </c>
      <c r="K108" s="29"/>
      <c r="L108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storage.type.class.${1:/downcase}._tag.loglevel._feeling.bad.text.noted</v>
      </c>
      <c r="M108" s="17" t="str">
        <f>"" &amp;  IF(Table2[[#This Row],[hasUnsafeRegex]] = 0, Table2[[#This Row],[regexTermInput]], "(?:" &amp; Table2[[#This Row],[regexTermInput]] &amp; ")")</f>
        <v>EMERGENCY</v>
      </c>
      <c r="N108" s="19">
        <f>IF( IFERROR( FIND("$", Table2[[#This Row],[unsafeRegexGuess]]), 0) &lt;=0, 0, 1)</f>
        <v>0</v>
      </c>
      <c r="O108" s="19">
        <f>IF( IFERROR( FIND("$", Table2[[#This Row],[anyRegexGuess]]), 0) &lt;=0, 0, 1)</f>
        <v>0</v>
      </c>
      <c r="P108" s="21" t="str">
        <f>SUBSTITUTE( SUBSTITUTE( SUBSTITUTE(SUBSTITUTE(Table2[[#This Row],[unsafeRegexGuess]], ")", "$"), "*", "$"), "+", "$"), "?", "$")</f>
        <v>EMERGENCY</v>
      </c>
      <c r="Q108" s="21" t="str">
        <f xml:space="preserve"> SUBSTITUTE( SUBSTITUTE( SUBSTITUTE(Table2[[#This Row],[regexTermInput]], "(", "$"), "|", "$"), "^", "$")</f>
        <v>EMERGENCY</v>
      </c>
      <c r="R108"/>
      <c r="S108"/>
      <c r="T108"/>
      <c r="U108"/>
      <c r="V108"/>
      <c r="W108"/>
      <c r="X108"/>
      <c r="Z108"/>
    </row>
    <row r="109" spans="2:26" x14ac:dyDescent="0.25">
      <c r="B109" s="15">
        <f>IF( Table2[[#This Row],[target_lang]] = "noted", 1, 0)</f>
        <v>1</v>
      </c>
      <c r="C109" s="15">
        <f xml:space="preserve"> IF( Table2[[#This Row],[target_lang]] = "notedoc", 1, 0)</f>
        <v>0</v>
      </c>
      <c r="D109" s="18" t="s">
        <v>48</v>
      </c>
      <c r="E109" s="18" t="str">
        <f>IF( Table2[[#This Row],[label]] = "", "", IF( Table2[[#This Row],[origin]] = "notedoc",  Table2[[#This Row],[origin]],  "noted"))</f>
        <v>noted</v>
      </c>
      <c r="F109" s="26" t="s">
        <v>55</v>
      </c>
      <c r="G109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g_tag_loglevel_feeling_bad</v>
      </c>
      <c r="H109" s="27" t="s">
        <v>36</v>
      </c>
      <c r="I109" s="28" t="str">
        <f>Table2[[#This Row],[label]]</f>
        <v>ERROR</v>
      </c>
      <c r="J109" s="26" t="s">
        <v>65</v>
      </c>
      <c r="K109" s="29"/>
      <c r="L109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storage.type.class.${1:/downcase}._tag.loglevel._feeling.bad.text.noted</v>
      </c>
      <c r="M109" s="17" t="str">
        <f>"" &amp;  IF(Table2[[#This Row],[hasUnsafeRegex]] = 0, Table2[[#This Row],[regexTermInput]], "(?:" &amp; Table2[[#This Row],[regexTermInput]] &amp; ")")</f>
        <v>ERROR</v>
      </c>
      <c r="N109" s="19">
        <f>IF( IFERROR( FIND("$", Table2[[#This Row],[unsafeRegexGuess]]), 0) &lt;=0, 0, 1)</f>
        <v>0</v>
      </c>
      <c r="O109" s="19">
        <f>IF( IFERROR( FIND("$", Table2[[#This Row],[anyRegexGuess]]), 0) &lt;=0, 0, 1)</f>
        <v>0</v>
      </c>
      <c r="P109" s="21" t="str">
        <f>SUBSTITUTE( SUBSTITUTE( SUBSTITUTE(SUBSTITUTE(Table2[[#This Row],[unsafeRegexGuess]], ")", "$"), "*", "$"), "+", "$"), "?", "$")</f>
        <v>ERROR</v>
      </c>
      <c r="Q109" s="21" t="str">
        <f xml:space="preserve"> SUBSTITUTE( SUBSTITUTE( SUBSTITUTE(Table2[[#This Row],[regexTermInput]], "(", "$"), "|", "$"), "^", "$")</f>
        <v>ERROR</v>
      </c>
      <c r="R109"/>
      <c r="S109"/>
      <c r="T109"/>
      <c r="U109"/>
      <c r="V109"/>
      <c r="W109"/>
      <c r="X109"/>
      <c r="Z109"/>
    </row>
    <row r="110" spans="2:26" x14ac:dyDescent="0.25">
      <c r="B110" s="15">
        <f>IF( Table2[[#This Row],[target_lang]] = "noted", 1, 0)</f>
        <v>1</v>
      </c>
      <c r="C110" s="15">
        <f xml:space="preserve"> IF( Table2[[#This Row],[target_lang]] = "notedoc", 1, 0)</f>
        <v>0</v>
      </c>
      <c r="D110" s="18" t="s">
        <v>51</v>
      </c>
      <c r="E110" s="18" t="str">
        <f>IF( Table2[[#This Row],[label]] = "", "", IF( Table2[[#This Row],[origin]] = "notedoc",  Table2[[#This Row],[origin]],  "noted"))</f>
        <v>noted</v>
      </c>
      <c r="F110" s="26" t="s">
        <v>55</v>
      </c>
      <c r="G110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g_tag_loglevel_feeling_bad</v>
      </c>
      <c r="H110" s="27" t="s">
        <v>2</v>
      </c>
      <c r="I110" s="28" t="str">
        <f>Table2[[#This Row],[label]]</f>
        <v>FATAL</v>
      </c>
      <c r="J110" s="26" t="s">
        <v>65</v>
      </c>
      <c r="K110" s="29"/>
      <c r="L110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storage.type.class.${1:/downcase}._tag.loglevel._feeling.bad.text.noted</v>
      </c>
      <c r="M110" s="17" t="str">
        <f>"" &amp;  IF(Table2[[#This Row],[hasUnsafeRegex]] = 0, Table2[[#This Row],[regexTermInput]], "(?:" &amp; Table2[[#This Row],[regexTermInput]] &amp; ")")</f>
        <v>FATAL</v>
      </c>
      <c r="N110" s="19">
        <f>IF( IFERROR( FIND("$", Table2[[#This Row],[unsafeRegexGuess]]), 0) &lt;=0, 0, 1)</f>
        <v>0</v>
      </c>
      <c r="O110" s="19">
        <f>IF( IFERROR( FIND("$", Table2[[#This Row],[anyRegexGuess]]), 0) &lt;=0, 0, 1)</f>
        <v>0</v>
      </c>
      <c r="P110" s="21" t="str">
        <f>SUBSTITUTE( SUBSTITUTE( SUBSTITUTE(SUBSTITUTE(Table2[[#This Row],[unsafeRegexGuess]], ")", "$"), "*", "$"), "+", "$"), "?", "$")</f>
        <v>FATAL</v>
      </c>
      <c r="Q110" s="21" t="str">
        <f xml:space="preserve"> SUBSTITUTE( SUBSTITUTE( SUBSTITUTE(Table2[[#This Row],[regexTermInput]], "(", "$"), "|", "$"), "^", "$")</f>
        <v>FATAL</v>
      </c>
      <c r="R110"/>
      <c r="S110"/>
      <c r="T110"/>
      <c r="U110"/>
      <c r="V110"/>
      <c r="W110"/>
      <c r="X110"/>
      <c r="Z110"/>
    </row>
    <row r="111" spans="2:26" ht="15" customHeight="1" x14ac:dyDescent="0.25">
      <c r="B111" s="15">
        <f>IF( Table2[[#This Row],[target_lang]] = "noted", 1, 0)</f>
        <v>1</v>
      </c>
      <c r="C111" s="15">
        <f xml:space="preserve"> IF( Table2[[#This Row],[target_lang]] = "notedoc", 1, 0)</f>
        <v>0</v>
      </c>
      <c r="D111" s="18" t="s">
        <v>51</v>
      </c>
      <c r="E111" s="18" t="str">
        <f>IF( Table2[[#This Row],[label]] = "", "", IF( Table2[[#This Row],[origin]] = "notedoc",  Table2[[#This Row],[origin]],  "noted"))</f>
        <v>noted</v>
      </c>
      <c r="F111" s="26" t="s">
        <v>55</v>
      </c>
      <c r="G111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g_tag_loglevel_feeling_bad</v>
      </c>
      <c r="H111" s="27" t="s">
        <v>106</v>
      </c>
      <c r="I111" s="28" t="str">
        <f>Table2[[#This Row],[label]]</f>
        <v>PANIC</v>
      </c>
      <c r="J111" s="26" t="s">
        <v>65</v>
      </c>
      <c r="K111" s="29"/>
      <c r="L111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storage.type.class.${1:/downcase}._tag.loglevel._feeling.bad.text.noted</v>
      </c>
      <c r="M111" s="17" t="str">
        <f>"" &amp;  IF(Table2[[#This Row],[hasUnsafeRegex]] = 0, Table2[[#This Row],[regexTermInput]], "(?:" &amp; Table2[[#This Row],[regexTermInput]] &amp; ")")</f>
        <v>PANIC</v>
      </c>
      <c r="N111" s="19">
        <f>IF( IFERROR( FIND("$", Table2[[#This Row],[unsafeRegexGuess]]), 0) &lt;=0, 0, 1)</f>
        <v>0</v>
      </c>
      <c r="O111" s="19">
        <f>IF( IFERROR( FIND("$", Table2[[#This Row],[anyRegexGuess]]), 0) &lt;=0, 0, 1)</f>
        <v>0</v>
      </c>
      <c r="P111" s="21" t="str">
        <f>SUBSTITUTE( SUBSTITUTE( SUBSTITUTE(SUBSTITUTE(Table2[[#This Row],[unsafeRegexGuess]], ")", "$"), "*", "$"), "+", "$"), "?", "$")</f>
        <v>PANIC</v>
      </c>
      <c r="Q111" s="21" t="str">
        <f xml:space="preserve"> SUBSTITUTE( SUBSTITUTE( SUBSTITUTE(Table2[[#This Row],[regexTermInput]], "(", "$"), "|", "$"), "^", "$")</f>
        <v>PANIC</v>
      </c>
      <c r="R111"/>
      <c r="S111"/>
      <c r="T111"/>
      <c r="U111"/>
      <c r="V111"/>
      <c r="W111"/>
      <c r="X111"/>
      <c r="Z111"/>
    </row>
    <row r="112" spans="2:26" x14ac:dyDescent="0.25">
      <c r="B112" s="15">
        <f>IF( Table2[[#This Row],[target_lang]] = "noted", 1, 0)</f>
        <v>1</v>
      </c>
      <c r="C112" s="15">
        <f xml:space="preserve"> IF( Table2[[#This Row],[target_lang]] = "notedoc", 1, 0)</f>
        <v>0</v>
      </c>
      <c r="D112" s="18" t="s">
        <v>48</v>
      </c>
      <c r="E112" s="18" t="str">
        <f>IF( Table2[[#This Row],[label]] = "", "", IF( Table2[[#This Row],[origin]] = "notedoc",  Table2[[#This Row],[origin]],  "noted"))</f>
        <v>noted</v>
      </c>
      <c r="F112" s="26" t="s">
        <v>55</v>
      </c>
      <c r="G112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g_tag_loglevel_feeling_bad</v>
      </c>
      <c r="H112" s="27" t="s">
        <v>27</v>
      </c>
      <c r="I112" s="28" t="str">
        <f>Table2[[#This Row],[label]]</f>
        <v>WARN</v>
      </c>
      <c r="J112" s="26" t="s">
        <v>65</v>
      </c>
      <c r="K112" s="29"/>
      <c r="L112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storage.type.class.${1:/downcase}._tag.loglevel._feeling.bad.text.noted</v>
      </c>
      <c r="M112" s="17" t="str">
        <f>"" &amp;  IF(Table2[[#This Row],[hasUnsafeRegex]] = 0, Table2[[#This Row],[regexTermInput]], "(?:" &amp; Table2[[#This Row],[regexTermInput]] &amp; ")")</f>
        <v>WARN</v>
      </c>
      <c r="N112" s="19">
        <f>IF( IFERROR( FIND("$", Table2[[#This Row],[unsafeRegexGuess]]), 0) &lt;=0, 0, 1)</f>
        <v>0</v>
      </c>
      <c r="O112" s="19">
        <f>IF( IFERROR( FIND("$", Table2[[#This Row],[anyRegexGuess]]), 0) &lt;=0, 0, 1)</f>
        <v>0</v>
      </c>
      <c r="P112" s="21" t="str">
        <f>SUBSTITUTE( SUBSTITUTE( SUBSTITUTE(SUBSTITUTE(Table2[[#This Row],[unsafeRegexGuess]], ")", "$"), "*", "$"), "+", "$"), "?", "$")</f>
        <v>WARN</v>
      </c>
      <c r="Q112" s="21" t="str">
        <f xml:space="preserve"> SUBSTITUTE( SUBSTITUTE( SUBSTITUTE(Table2[[#This Row],[regexTermInput]], "(", "$"), "|", "$"), "^", "$")</f>
        <v>WARN</v>
      </c>
      <c r="R112"/>
      <c r="S112"/>
      <c r="T112"/>
      <c r="U112"/>
      <c r="V112"/>
      <c r="W112"/>
      <c r="X112"/>
      <c r="Z112"/>
    </row>
    <row r="113" spans="2:26" x14ac:dyDescent="0.25">
      <c r="B113" s="15">
        <f>IF( Table2[[#This Row],[target_lang]] = "noted", 1, 0)</f>
        <v>1</v>
      </c>
      <c r="C113" s="15">
        <f xml:space="preserve"> IF( Table2[[#This Row],[target_lang]] = "notedoc", 1, 0)</f>
        <v>0</v>
      </c>
      <c r="D113" s="24" t="s">
        <v>43</v>
      </c>
      <c r="E113" s="18" t="str">
        <f>IF( Table2[[#This Row],[label]] = "", "", IF( Table2[[#This Row],[origin]] = "notedoc",  Table2[[#This Row],[origin]],  "noted"))</f>
        <v>noted</v>
      </c>
      <c r="F113" s="26" t="s">
        <v>55</v>
      </c>
      <c r="G113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g_tag_loglevel_feeling_ok</v>
      </c>
      <c r="H113" s="27" t="s">
        <v>1</v>
      </c>
      <c r="I113" s="28" t="str">
        <f>Table2[[#This Row],[label]]</f>
        <v>DEBUG</v>
      </c>
      <c r="J113" s="32" t="s">
        <v>256</v>
      </c>
      <c r="K113" s="29"/>
      <c r="L113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storage.type.class.${1:/downcase}._tag.loglevel._feeling.ok.text.noted</v>
      </c>
      <c r="M113" s="17" t="str">
        <f>"" &amp;  IF(Table2[[#This Row],[hasUnsafeRegex]] = 0, Table2[[#This Row],[regexTermInput]], "(?:" &amp; Table2[[#This Row],[regexTermInput]] &amp; ")")</f>
        <v>DEBUG</v>
      </c>
      <c r="N113" s="19">
        <f>IF( IFERROR( FIND("$", Table2[[#This Row],[unsafeRegexGuess]]), 0) &lt;=0, 0, 1)</f>
        <v>0</v>
      </c>
      <c r="O113" s="19">
        <f>IF( IFERROR( FIND("$", Table2[[#This Row],[anyRegexGuess]]), 0) &lt;=0, 0, 1)</f>
        <v>0</v>
      </c>
      <c r="P113" s="21" t="str">
        <f>SUBSTITUTE( SUBSTITUTE( SUBSTITUTE(SUBSTITUTE(Table2[[#This Row],[unsafeRegexGuess]], ")", "$"), "*", "$"), "+", "$"), "?", "$")</f>
        <v>DEBUG</v>
      </c>
      <c r="Q113" s="21" t="str">
        <f xml:space="preserve"> SUBSTITUTE( SUBSTITUTE( SUBSTITUTE(Table2[[#This Row],[regexTermInput]], "(", "$"), "|", "$"), "^", "$")</f>
        <v>DEBUG</v>
      </c>
      <c r="R113"/>
      <c r="S113"/>
      <c r="T113"/>
      <c r="U113"/>
      <c r="V113"/>
      <c r="W113"/>
      <c r="X113"/>
      <c r="Z113"/>
    </row>
    <row r="114" spans="2:26" x14ac:dyDescent="0.25">
      <c r="B114" s="15">
        <f>IF( Table2[[#This Row],[target_lang]] = "noted", 1, 0)</f>
        <v>1</v>
      </c>
      <c r="C114" s="15">
        <f xml:space="preserve"> IF( Table2[[#This Row],[target_lang]] = "notedoc", 1, 0)</f>
        <v>0</v>
      </c>
      <c r="D114" s="18" t="s">
        <v>51</v>
      </c>
      <c r="E114" s="18" t="str">
        <f>IF( Table2[[#This Row],[label]] = "", "", IF( Table2[[#This Row],[origin]] = "notedoc",  Table2[[#This Row],[origin]],  "noted"))</f>
        <v>noted</v>
      </c>
      <c r="F114" s="26" t="s">
        <v>55</v>
      </c>
      <c r="G114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g_tag_loglevel_feeling_ok</v>
      </c>
      <c r="H114" s="27" t="s">
        <v>101</v>
      </c>
      <c r="I114" s="28" t="str">
        <f>Table2[[#This Row],[label]]</f>
        <v>TRACE</v>
      </c>
      <c r="J114" s="26" t="s">
        <v>256</v>
      </c>
      <c r="K114" s="29"/>
      <c r="L114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storage.type.class.${1:/downcase}._tag.loglevel._feeling.ok.text.noted</v>
      </c>
      <c r="M114" s="17" t="str">
        <f>"" &amp;  IF(Table2[[#This Row],[hasUnsafeRegex]] = 0, Table2[[#This Row],[regexTermInput]], "(?:" &amp; Table2[[#This Row],[regexTermInput]] &amp; ")")</f>
        <v>TRACE</v>
      </c>
      <c r="N114" s="19">
        <f>IF( IFERROR( FIND("$", Table2[[#This Row],[unsafeRegexGuess]]), 0) &lt;=0, 0, 1)</f>
        <v>0</v>
      </c>
      <c r="O114" s="19">
        <f>IF( IFERROR( FIND("$", Table2[[#This Row],[anyRegexGuess]]), 0) &lt;=0, 0, 1)</f>
        <v>0</v>
      </c>
      <c r="P114" s="21" t="str">
        <f>SUBSTITUTE( SUBSTITUTE( SUBSTITUTE(SUBSTITUTE(Table2[[#This Row],[unsafeRegexGuess]], ")", "$"), "*", "$"), "+", "$"), "?", "$")</f>
        <v>TRACE</v>
      </c>
      <c r="Q114" s="21" t="str">
        <f xml:space="preserve"> SUBSTITUTE( SUBSTITUTE( SUBSTITUTE(Table2[[#This Row],[regexTermInput]], "(", "$"), "|", "$"), "^", "$")</f>
        <v>TRACE</v>
      </c>
      <c r="R114"/>
      <c r="S114"/>
      <c r="T114"/>
      <c r="U114"/>
      <c r="V114"/>
      <c r="W114"/>
      <c r="X114"/>
      <c r="Z114"/>
    </row>
    <row r="115" spans="2:26" x14ac:dyDescent="0.25">
      <c r="B115" s="15">
        <f>IF( Table2[[#This Row],[target_lang]] = "noted", 1, 0)</f>
        <v>1</v>
      </c>
      <c r="C115" s="15">
        <f xml:space="preserve"> IF( Table2[[#This Row],[target_lang]] = "notedoc", 1, 0)</f>
        <v>0</v>
      </c>
      <c r="D115" s="18" t="s">
        <v>48</v>
      </c>
      <c r="E115" s="18" t="str">
        <f>IF( Table2[[#This Row],[label]] = "", "", IF( Table2[[#This Row],[origin]] = "notedoc",  Table2[[#This Row],[origin]],  "noted"))</f>
        <v>noted</v>
      </c>
      <c r="F115" s="26" t="s">
        <v>55</v>
      </c>
      <c r="G115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g_tag_loglevel_feeling_ok</v>
      </c>
      <c r="H115" s="27" t="s">
        <v>4</v>
      </c>
      <c r="I115" s="28" t="str">
        <f>Table2[[#This Row],[label]]</f>
        <v>INFO</v>
      </c>
      <c r="J115" s="32" t="s">
        <v>256</v>
      </c>
      <c r="K115" s="29"/>
      <c r="L115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storage.type.class.${1:/downcase}._tag.loglevel._feeling.ok.text.noted</v>
      </c>
      <c r="M115" s="17" t="str">
        <f>"" &amp;  IF(Table2[[#This Row],[hasUnsafeRegex]] = 0, Table2[[#This Row],[regexTermInput]], "(?:" &amp; Table2[[#This Row],[regexTermInput]] &amp; ")")</f>
        <v>INFO</v>
      </c>
      <c r="N115" s="19">
        <f>IF( IFERROR( FIND("$", Table2[[#This Row],[unsafeRegexGuess]]), 0) &lt;=0, 0, 1)</f>
        <v>0</v>
      </c>
      <c r="O115" s="19">
        <f>IF( IFERROR( FIND("$", Table2[[#This Row],[anyRegexGuess]]), 0) &lt;=0, 0, 1)</f>
        <v>0</v>
      </c>
      <c r="P115" s="21" t="str">
        <f>SUBSTITUTE( SUBSTITUTE( SUBSTITUTE(SUBSTITUTE(Table2[[#This Row],[unsafeRegexGuess]], ")", "$"), "*", "$"), "+", "$"), "?", "$")</f>
        <v>INFO</v>
      </c>
      <c r="Q115" s="21" t="str">
        <f xml:space="preserve"> SUBSTITUTE( SUBSTITUTE( SUBSTITUTE(Table2[[#This Row],[regexTermInput]], "(", "$"), "|", "$"), "^", "$")</f>
        <v>INFO</v>
      </c>
      <c r="R115"/>
      <c r="S115"/>
      <c r="T115"/>
      <c r="U115"/>
      <c r="V115"/>
      <c r="W115"/>
      <c r="X115"/>
      <c r="Z115"/>
    </row>
    <row r="116" spans="2:26" x14ac:dyDescent="0.25">
      <c r="B116" s="15">
        <f>IF( Table2[[#This Row],[target_lang]] = "noted", 1, 0)</f>
        <v>1</v>
      </c>
      <c r="C116" s="15">
        <f xml:space="preserve"> IF( Table2[[#This Row],[target_lang]] = "notedoc", 1, 0)</f>
        <v>0</v>
      </c>
      <c r="D116" s="18" t="s">
        <v>51</v>
      </c>
      <c r="E116" s="18" t="str">
        <f>IF( Table2[[#This Row],[label]] = "", "", IF( Table2[[#This Row],[origin]] = "notedoc",  Table2[[#This Row],[origin]],  "noted"))</f>
        <v>noted</v>
      </c>
      <c r="F116" s="26" t="s">
        <v>55</v>
      </c>
      <c r="G116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g_tag_loglevel_feeling_ok</v>
      </c>
      <c r="H116" s="27" t="s">
        <v>105</v>
      </c>
      <c r="I116" s="28" t="str">
        <f>Table2[[#This Row],[label]]</f>
        <v>NOTICE</v>
      </c>
      <c r="J116" s="32" t="s">
        <v>256</v>
      </c>
      <c r="K116" s="29"/>
      <c r="L116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storage.type.class.${1:/downcase}._tag.loglevel._feeling.ok.text.noted</v>
      </c>
      <c r="M116" s="17" t="str">
        <f>"" &amp;  IF(Table2[[#This Row],[hasUnsafeRegex]] = 0, Table2[[#This Row],[regexTermInput]], "(?:" &amp; Table2[[#This Row],[regexTermInput]] &amp; ")")</f>
        <v>NOTICE</v>
      </c>
      <c r="N116" s="19">
        <f>IF( IFERROR( FIND("$", Table2[[#This Row],[unsafeRegexGuess]]), 0) &lt;=0, 0, 1)</f>
        <v>0</v>
      </c>
      <c r="O116" s="19">
        <f>IF( IFERROR( FIND("$", Table2[[#This Row],[anyRegexGuess]]), 0) &lt;=0, 0, 1)</f>
        <v>0</v>
      </c>
      <c r="P116" s="21" t="str">
        <f>SUBSTITUTE( SUBSTITUTE( SUBSTITUTE(SUBSTITUTE(Table2[[#This Row],[unsafeRegexGuess]], ")", "$"), "*", "$"), "+", "$"), "?", "$")</f>
        <v>NOTICE</v>
      </c>
      <c r="Q116" s="21" t="str">
        <f xml:space="preserve"> SUBSTITUTE( SUBSTITUTE( SUBSTITUTE(Table2[[#This Row],[regexTermInput]], "(", "$"), "|", "$"), "^", "$")</f>
        <v>NOTICE</v>
      </c>
      <c r="R116"/>
      <c r="S116"/>
      <c r="T116"/>
      <c r="U116"/>
      <c r="V116"/>
      <c r="W116"/>
      <c r="X116"/>
      <c r="Z116"/>
    </row>
    <row r="117" spans="2:26" ht="16" customHeight="1" x14ac:dyDescent="0.25">
      <c r="B117" s="15">
        <f>IF( Table2[[#This Row],[target_lang]] = "noted", 1, 0)</f>
        <v>0</v>
      </c>
      <c r="C117" s="15">
        <f xml:space="preserve"> IF( Table2[[#This Row],[target_lang]] = "notedoc", 1, 0)</f>
        <v>0</v>
      </c>
      <c r="D117" s="18" t="s">
        <v>51</v>
      </c>
      <c r="E117" s="18" t="str">
        <f>IF( Table2[[#This Row],[label]] = "", "", IF( Table2[[#This Row],[origin]] = "notedoc",  Table2[[#This Row],[origin]],  "noted"))</f>
        <v/>
      </c>
      <c r="F117" s="26" t="s">
        <v>60</v>
      </c>
      <c r="G117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/>
      </c>
      <c r="H117" s="27" t="str">
        <f>""</f>
        <v/>
      </c>
      <c r="I117" s="28" t="str">
        <f>Table2[[#This Row],[label]]</f>
        <v/>
      </c>
      <c r="J117" s="26" t="str">
        <f>""</f>
        <v/>
      </c>
      <c r="K117" s="29"/>
      <c r="L117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M117" s="17" t="str">
        <f>"" &amp;  IF(Table2[[#This Row],[hasUnsafeRegex]] = 0, Table2[[#This Row],[regexTermInput]], "(?:" &amp; Table2[[#This Row],[regexTermInput]] &amp; ")")</f>
        <v/>
      </c>
      <c r="N117" s="19">
        <f>IF( IFERROR( FIND("$", Table2[[#This Row],[unsafeRegexGuess]]), 0) &lt;=0, 0, 1)</f>
        <v>0</v>
      </c>
      <c r="O117" s="19">
        <f>IF( IFERROR( FIND("$", Table2[[#This Row],[anyRegexGuess]]), 0) &lt;=0, 0, 1)</f>
        <v>0</v>
      </c>
      <c r="P117" s="21" t="str">
        <f>SUBSTITUTE( SUBSTITUTE( SUBSTITUTE(SUBSTITUTE(Table2[[#This Row],[unsafeRegexGuess]], ")", "$"), "*", "$"), "+", "$"), "?", "$")</f>
        <v/>
      </c>
      <c r="Q117" s="21" t="str">
        <f xml:space="preserve"> SUBSTITUTE( SUBSTITUTE( SUBSTITUTE(Table2[[#This Row],[regexTermInput]], "(", "$"), "|", "$"), "^", "$")</f>
        <v/>
      </c>
      <c r="R117"/>
      <c r="S117"/>
      <c r="T117"/>
      <c r="U117"/>
      <c r="V117"/>
      <c r="W117"/>
      <c r="X117"/>
      <c r="Z117"/>
    </row>
    <row r="118" spans="2:26" x14ac:dyDescent="0.25">
      <c r="B118" s="15">
        <f>IF( Table2[[#This Row],[target_lang]] = "noted", 1, 0)</f>
        <v>1</v>
      </c>
      <c r="C118" s="15">
        <f xml:space="preserve"> IF( Table2[[#This Row],[target_lang]] = "notedoc", 1, 0)</f>
        <v>0</v>
      </c>
      <c r="D118" s="18" t="s">
        <v>51</v>
      </c>
      <c r="E118" s="18" t="str">
        <f>IF( Table2[[#This Row],[label]] = "", "", IF( Table2[[#This Row],[origin]] = "notedoc",  Table2[[#This Row],[origin]],  "noted"))</f>
        <v>noted</v>
      </c>
      <c r="F118" s="26" t="s">
        <v>60</v>
      </c>
      <c r="G118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g_tag_person_feeling_ok</v>
      </c>
      <c r="H118" s="27" t="s">
        <v>68</v>
      </c>
      <c r="I118" s="28" t="str">
        <f>Table2[[#This Row],[label]]</f>
        <v>DAGOLDEN</v>
      </c>
      <c r="J118" s="26" t="s">
        <v>256</v>
      </c>
      <c r="K118" s="29"/>
      <c r="L118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storage.type.class.${1:/downcase}._tag.person._feeling.ok.text.noted</v>
      </c>
      <c r="M118" s="17" t="str">
        <f>"" &amp;  IF(Table2[[#This Row],[hasUnsafeRegex]] = 0, Table2[[#This Row],[regexTermInput]], "(?:" &amp; Table2[[#This Row],[regexTermInput]] &amp; ")")</f>
        <v>DAGOLDEN</v>
      </c>
      <c r="N118" s="19">
        <f>IF( IFERROR( FIND("$", Table2[[#This Row],[unsafeRegexGuess]]), 0) &lt;=0, 0, 1)</f>
        <v>0</v>
      </c>
      <c r="O118" s="19">
        <f>IF( IFERROR( FIND("$", Table2[[#This Row],[anyRegexGuess]]), 0) &lt;=0, 0, 1)</f>
        <v>0</v>
      </c>
      <c r="P118" s="21" t="str">
        <f>SUBSTITUTE( SUBSTITUTE( SUBSTITUTE(SUBSTITUTE(Table2[[#This Row],[unsafeRegexGuess]], ")", "$"), "*", "$"), "+", "$"), "?", "$")</f>
        <v>DAGOLDEN</v>
      </c>
      <c r="Q118" s="21" t="str">
        <f xml:space="preserve"> SUBSTITUTE( SUBSTITUTE( SUBSTITUTE(Table2[[#This Row],[regexTermInput]], "(", "$"), "|", "$"), "^", "$")</f>
        <v>DAGOLDEN</v>
      </c>
      <c r="R118"/>
      <c r="S118"/>
      <c r="T118"/>
      <c r="U118"/>
      <c r="V118"/>
      <c r="W118"/>
      <c r="X118"/>
      <c r="Z118"/>
    </row>
    <row r="119" spans="2:26" x14ac:dyDescent="0.25">
      <c r="B119" s="15">
        <f>IF( Table2[[#This Row],[target_lang]] = "noted", 1, 0)</f>
        <v>1</v>
      </c>
      <c r="C119" s="15">
        <f xml:space="preserve"> IF( Table2[[#This Row],[target_lang]] = "notedoc", 1, 0)</f>
        <v>0</v>
      </c>
      <c r="D119" s="18" t="s">
        <v>51</v>
      </c>
      <c r="E119" s="18" t="str">
        <f>IF( Table2[[#This Row],[label]] = "", "", IF( Table2[[#This Row],[origin]] = "notedoc",  Table2[[#This Row],[origin]],  "noted"))</f>
        <v>noted</v>
      </c>
      <c r="F119" s="26" t="s">
        <v>60</v>
      </c>
      <c r="G119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g_tag_person_feeling_ok</v>
      </c>
      <c r="H119" s="27" t="s">
        <v>39</v>
      </c>
      <c r="I119" s="28" t="str">
        <f>Table2[[#This Row],[label]]</f>
        <v>ETHER</v>
      </c>
      <c r="J119" s="26" t="s">
        <v>256</v>
      </c>
      <c r="K119" s="29"/>
      <c r="L119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storage.type.class.${1:/downcase}._tag.person._feeling.ok.text.noted</v>
      </c>
      <c r="M119" s="17" t="str">
        <f>"" &amp;  IF(Table2[[#This Row],[hasUnsafeRegex]] = 0, Table2[[#This Row],[regexTermInput]], "(?:" &amp; Table2[[#This Row],[regexTermInput]] &amp; ")")</f>
        <v>ETHER</v>
      </c>
      <c r="N119" s="19">
        <f>IF( IFERROR( FIND("$", Table2[[#This Row],[unsafeRegexGuess]]), 0) &lt;=0, 0, 1)</f>
        <v>0</v>
      </c>
      <c r="O119" s="19">
        <f>IF( IFERROR( FIND("$", Table2[[#This Row],[anyRegexGuess]]), 0) &lt;=0, 0, 1)</f>
        <v>0</v>
      </c>
      <c r="P119" s="21" t="str">
        <f>SUBSTITUTE( SUBSTITUTE( SUBSTITUTE(SUBSTITUTE(Table2[[#This Row],[unsafeRegexGuess]], ")", "$"), "*", "$"), "+", "$"), "?", "$")</f>
        <v>ETHER</v>
      </c>
      <c r="Q119" s="21" t="str">
        <f xml:space="preserve"> SUBSTITUTE( SUBSTITUTE( SUBSTITUTE(Table2[[#This Row],[regexTermInput]], "(", "$"), "|", "$"), "^", "$")</f>
        <v>ETHER</v>
      </c>
      <c r="R119"/>
      <c r="S119"/>
      <c r="T119"/>
      <c r="U119"/>
      <c r="V119"/>
      <c r="W119"/>
      <c r="X119"/>
      <c r="Z119"/>
    </row>
    <row r="120" spans="2:26" x14ac:dyDescent="0.25">
      <c r="B120" s="15">
        <f>IF( Table2[[#This Row],[target_lang]] = "noted", 1, 0)</f>
        <v>1</v>
      </c>
      <c r="C120" s="15">
        <f xml:space="preserve"> IF( Table2[[#This Row],[target_lang]] = "notedoc", 1, 0)</f>
        <v>0</v>
      </c>
      <c r="D120" s="18" t="s">
        <v>51</v>
      </c>
      <c r="E120" s="18" t="str">
        <f>IF( Table2[[#This Row],[label]] = "", "", IF( Table2[[#This Row],[origin]] = "notedoc",  Table2[[#This Row],[origin]],  "noted"))</f>
        <v>noted</v>
      </c>
      <c r="F120" s="26" t="s">
        <v>60</v>
      </c>
      <c r="G120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g_tag_person_feeling_ok</v>
      </c>
      <c r="H120" s="27" t="s">
        <v>67</v>
      </c>
      <c r="I120" s="28" t="str">
        <f>Table2[[#This Row],[label]]</f>
        <v>KENTNL</v>
      </c>
      <c r="J120" s="26" t="s">
        <v>256</v>
      </c>
      <c r="K120" s="29"/>
      <c r="L120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storage.type.class.${1:/downcase}._tag.person._feeling.ok.text.noted</v>
      </c>
      <c r="M120" s="17" t="str">
        <f>"" &amp;  IF(Table2[[#This Row],[hasUnsafeRegex]] = 0, Table2[[#This Row],[regexTermInput]], "(?:" &amp; Table2[[#This Row],[regexTermInput]] &amp; ")")</f>
        <v>KENTNL</v>
      </c>
      <c r="N120" s="19">
        <f>IF( IFERROR( FIND("$", Table2[[#This Row],[unsafeRegexGuess]]), 0) &lt;=0, 0, 1)</f>
        <v>0</v>
      </c>
      <c r="O120" s="19">
        <f>IF( IFERROR( FIND("$", Table2[[#This Row],[anyRegexGuess]]), 0) &lt;=0, 0, 1)</f>
        <v>0</v>
      </c>
      <c r="P120" s="21" t="str">
        <f>SUBSTITUTE( SUBSTITUTE( SUBSTITUTE(SUBSTITUTE(Table2[[#This Row],[unsafeRegexGuess]], ")", "$"), "*", "$"), "+", "$"), "?", "$")</f>
        <v>KENTNL</v>
      </c>
      <c r="Q120" s="21" t="str">
        <f xml:space="preserve"> SUBSTITUTE( SUBSTITUTE( SUBSTITUTE(Table2[[#This Row],[regexTermInput]], "(", "$"), "|", "$"), "^", "$")</f>
        <v>KENTNL</v>
      </c>
      <c r="R120"/>
      <c r="S120"/>
      <c r="T120"/>
      <c r="U120"/>
      <c r="V120"/>
      <c r="W120"/>
      <c r="X120"/>
      <c r="Z120"/>
    </row>
    <row r="121" spans="2:26" x14ac:dyDescent="0.25">
      <c r="B121" s="15">
        <f>IF( Table2[[#This Row],[target_lang]] = "noted", 1, 0)</f>
        <v>1</v>
      </c>
      <c r="C121" s="15">
        <f xml:space="preserve"> IF( Table2[[#This Row],[target_lang]] = "notedoc", 1, 0)</f>
        <v>0</v>
      </c>
      <c r="D121" s="18" t="s">
        <v>51</v>
      </c>
      <c r="E121" s="18" t="str">
        <f>IF( Table2[[#This Row],[label]] = "", "", IF( Table2[[#This Row],[origin]] = "notedoc",  Table2[[#This Row],[origin]],  "noted"))</f>
        <v>noted</v>
      </c>
      <c r="F121" s="26" t="s">
        <v>60</v>
      </c>
      <c r="G121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g_tag_person_feeling_ok</v>
      </c>
      <c r="H121" s="27" t="s">
        <v>40</v>
      </c>
      <c r="I121" s="28" t="str">
        <f>Table2[[#This Row],[label]]</f>
        <v>TABULO</v>
      </c>
      <c r="J121" s="26" t="s">
        <v>256</v>
      </c>
      <c r="K121" s="29"/>
      <c r="L121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storage.type.class.${1:/downcase}._tag.person._feeling.ok.text.noted</v>
      </c>
      <c r="M121" s="17" t="str">
        <f>"" &amp;  IF(Table2[[#This Row],[hasUnsafeRegex]] = 0, Table2[[#This Row],[regexTermInput]], "(?:" &amp; Table2[[#This Row],[regexTermInput]] &amp; ")")</f>
        <v>TABULO</v>
      </c>
      <c r="N121" s="19">
        <f>IF( IFERROR( FIND("$", Table2[[#This Row],[unsafeRegexGuess]]), 0) &lt;=0, 0, 1)</f>
        <v>0</v>
      </c>
      <c r="O121" s="19">
        <f>IF( IFERROR( FIND("$", Table2[[#This Row],[anyRegexGuess]]), 0) &lt;=0, 0, 1)</f>
        <v>0</v>
      </c>
      <c r="P121" s="21" t="str">
        <f>SUBSTITUTE( SUBSTITUTE( SUBSTITUTE(SUBSTITUTE(Table2[[#This Row],[unsafeRegexGuess]], ")", "$"), "*", "$"), "+", "$"), "?", "$")</f>
        <v>TABULO</v>
      </c>
      <c r="Q121" s="21" t="str">
        <f xml:space="preserve"> SUBSTITUTE( SUBSTITUTE( SUBSTITUTE(Table2[[#This Row],[regexTermInput]], "(", "$"), "|", "$"), "^", "$")</f>
        <v>TABULO</v>
      </c>
      <c r="R121"/>
      <c r="S121"/>
      <c r="T121"/>
      <c r="U121"/>
      <c r="V121"/>
      <c r="W121"/>
      <c r="X121"/>
      <c r="Z121"/>
    </row>
    <row r="122" spans="2:26" x14ac:dyDescent="0.25">
      <c r="B122" s="15">
        <f>IF( Table2[[#This Row],[target_lang]] = "noted", 1, 0)</f>
        <v>1</v>
      </c>
      <c r="C122" s="15">
        <f xml:space="preserve"> IF( Table2[[#This Row],[target_lang]] = "notedoc", 1, 0)</f>
        <v>0</v>
      </c>
      <c r="D122" s="18" t="s">
        <v>51</v>
      </c>
      <c r="E122" s="18" t="str">
        <f>IF( Table2[[#This Row],[label]] = "", "", IF( Table2[[#This Row],[origin]] = "notedoc",  Table2[[#This Row],[origin]],  "noted"))</f>
        <v>noted</v>
      </c>
      <c r="F122" s="26" t="s">
        <v>60</v>
      </c>
      <c r="G122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g_tag_person_feeling_ok</v>
      </c>
      <c r="H122" s="27" t="s">
        <v>41</v>
      </c>
      <c r="I122" s="28" t="str">
        <f>Table2[[#This Row],[label]]</f>
        <v>TAU</v>
      </c>
      <c r="J122" s="26" t="s">
        <v>256</v>
      </c>
      <c r="K122" s="29"/>
      <c r="L122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storage.type.class.${1:/downcase}._tag.person._feeling.ok.text.noted</v>
      </c>
      <c r="M122" s="17" t="str">
        <f>"" &amp;  IF(Table2[[#This Row],[hasUnsafeRegex]] = 0, Table2[[#This Row],[regexTermInput]], "(?:" &amp; Table2[[#This Row],[regexTermInput]] &amp; ")")</f>
        <v>TAU</v>
      </c>
      <c r="N122" s="19">
        <f>IF( IFERROR( FIND("$", Table2[[#This Row],[unsafeRegexGuess]]), 0) &lt;=0, 0, 1)</f>
        <v>0</v>
      </c>
      <c r="O122" s="19">
        <f>IF( IFERROR( FIND("$", Table2[[#This Row],[anyRegexGuess]]), 0) &lt;=0, 0, 1)</f>
        <v>0</v>
      </c>
      <c r="P122" s="21" t="str">
        <f>SUBSTITUTE( SUBSTITUTE( SUBSTITUTE(SUBSTITUTE(Table2[[#This Row],[unsafeRegexGuess]], ")", "$"), "*", "$"), "+", "$"), "?", "$")</f>
        <v>TAU</v>
      </c>
      <c r="Q122" s="21" t="str">
        <f xml:space="preserve"> SUBSTITUTE( SUBSTITUTE( SUBSTITUTE(Table2[[#This Row],[regexTermInput]], "(", "$"), "|", "$"), "^", "$")</f>
        <v>TAU</v>
      </c>
      <c r="R122"/>
      <c r="S122"/>
      <c r="T122"/>
      <c r="U122"/>
      <c r="V122"/>
      <c r="W122"/>
      <c r="X122"/>
      <c r="Z122"/>
    </row>
    <row r="123" spans="2:26" x14ac:dyDescent="0.25">
      <c r="B123" s="15">
        <f>IF( Table2[[#This Row],[target_lang]] = "noted", 1, 0)</f>
        <v>0</v>
      </c>
      <c r="C123" s="15">
        <f xml:space="preserve"> IF( Table2[[#This Row],[target_lang]] = "notedoc", 1, 0)</f>
        <v>0</v>
      </c>
      <c r="D123" s="18" t="s">
        <v>51</v>
      </c>
      <c r="E123" s="18" t="str">
        <f>IF( Table2[[#This Row],[label]] = "", "", IF( Table2[[#This Row],[origin]] = "notedoc",  Table2[[#This Row],[origin]],  "noted"))</f>
        <v/>
      </c>
      <c r="F123" s="26" t="s">
        <v>100</v>
      </c>
      <c r="G123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/>
      </c>
      <c r="H123" s="27" t="s">
        <v>163</v>
      </c>
      <c r="I123" s="28" t="str">
        <f>Table2[[#This Row],[label]]</f>
        <v/>
      </c>
      <c r="J123" s="26" t="str">
        <f>""</f>
        <v/>
      </c>
      <c r="K123" s="29"/>
      <c r="L123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M123" s="17" t="str">
        <f>"" &amp;  IF(Table2[[#This Row],[hasUnsafeRegex]] = 0, Table2[[#This Row],[regexTermInput]], "(?:" &amp; Table2[[#This Row],[regexTermInput]] &amp; ")")</f>
        <v/>
      </c>
      <c r="N123" s="19">
        <f>IF( IFERROR( FIND("$", Table2[[#This Row],[unsafeRegexGuess]]), 0) &lt;=0, 0, 1)</f>
        <v>0</v>
      </c>
      <c r="O123" s="19">
        <f>IF( IFERROR( FIND("$", Table2[[#This Row],[anyRegexGuess]]), 0) &lt;=0, 0, 1)</f>
        <v>0</v>
      </c>
      <c r="P123" s="21" t="str">
        <f>SUBSTITUTE( SUBSTITUTE( SUBSTITUTE(SUBSTITUTE(Table2[[#This Row],[unsafeRegexGuess]], ")", "$"), "*", "$"), "+", "$"), "?", "$")</f>
        <v/>
      </c>
      <c r="Q123" s="21" t="str">
        <f xml:space="preserve"> SUBSTITUTE( SUBSTITUTE( SUBSTITUTE(Table2[[#This Row],[regexTermInput]], "(", "$"), "|", "$"), "^", "$")</f>
        <v/>
      </c>
      <c r="R123"/>
      <c r="S123"/>
      <c r="T123"/>
      <c r="U123"/>
      <c r="V123"/>
      <c r="W123"/>
      <c r="X123"/>
      <c r="Z123"/>
    </row>
    <row r="124" spans="2:26" x14ac:dyDescent="0.25">
      <c r="B124" s="15">
        <f>IF( Table2[[#This Row],[target_lang]] = "noted", 1, 0)</f>
        <v>1</v>
      </c>
      <c r="C124" s="15">
        <f xml:space="preserve"> IF( Table2[[#This Row],[target_lang]] = "notedoc", 1, 0)</f>
        <v>0</v>
      </c>
      <c r="D124" s="18" t="s">
        <v>51</v>
      </c>
      <c r="E124" s="18" t="str">
        <f>IF( Table2[[#This Row],[label]] = "", "", IF( Table2[[#This Row],[origin]] = "notedoc",  Table2[[#This Row],[origin]],  "noted"))</f>
        <v>noted</v>
      </c>
      <c r="F124" s="26" t="s">
        <v>100</v>
      </c>
      <c r="G124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g_tag_shout_feeling_alert</v>
      </c>
      <c r="H124" s="27" t="s">
        <v>23</v>
      </c>
      <c r="I124" s="28" t="str">
        <f>Table2[[#This Row],[label]]</f>
        <v>ATTENTION</v>
      </c>
      <c r="J124" s="26" t="s">
        <v>56</v>
      </c>
      <c r="K124" s="29"/>
      <c r="L124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storage.type.class.${1:/downcase}._tag.shout._feeling.alert.text.noted</v>
      </c>
      <c r="M124" s="17" t="str">
        <f>"" &amp;  IF(Table2[[#This Row],[hasUnsafeRegex]] = 0, Table2[[#This Row],[regexTermInput]], "(?:" &amp; Table2[[#This Row],[regexTermInput]] &amp; ")")</f>
        <v>ATTENTION</v>
      </c>
      <c r="N124" s="19">
        <f>IF( IFERROR( FIND("$", Table2[[#This Row],[unsafeRegexGuess]]), 0) &lt;=0, 0, 1)</f>
        <v>0</v>
      </c>
      <c r="O124" s="19">
        <f>IF( IFERROR( FIND("$", Table2[[#This Row],[anyRegexGuess]]), 0) &lt;=0, 0, 1)</f>
        <v>0</v>
      </c>
      <c r="P124" s="21" t="str">
        <f>SUBSTITUTE( SUBSTITUTE( SUBSTITUTE(SUBSTITUTE(Table2[[#This Row],[unsafeRegexGuess]], ")", "$"), "*", "$"), "+", "$"), "?", "$")</f>
        <v>ATTENTION</v>
      </c>
      <c r="Q124" s="21" t="str">
        <f xml:space="preserve"> SUBSTITUTE( SUBSTITUTE( SUBSTITUTE(Table2[[#This Row],[regexTermInput]], "(", "$"), "|", "$"), "^", "$")</f>
        <v>ATTENTION</v>
      </c>
      <c r="R124"/>
      <c r="S124"/>
      <c r="T124"/>
      <c r="U124"/>
      <c r="V124"/>
      <c r="W124"/>
      <c r="X124"/>
      <c r="Z124"/>
    </row>
    <row r="125" spans="2:26" x14ac:dyDescent="0.25">
      <c r="B125" s="15">
        <f>IF( Table2[[#This Row],[target_lang]] = "noted", 1, 0)</f>
        <v>1</v>
      </c>
      <c r="C125" s="15">
        <f xml:space="preserve"> IF( Table2[[#This Row],[target_lang]] = "notedoc", 1, 0)</f>
        <v>0</v>
      </c>
      <c r="D125" s="18" t="s">
        <v>51</v>
      </c>
      <c r="E125" s="18" t="str">
        <f>IF( Table2[[#This Row],[label]] = "", "", IF( Table2[[#This Row],[origin]] = "notedoc",  Table2[[#This Row],[origin]],  "noted"))</f>
        <v>noted</v>
      </c>
      <c r="F125" s="26" t="s">
        <v>100</v>
      </c>
      <c r="G125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g_tag_shout_feeling_alert</v>
      </c>
      <c r="H125" s="27" t="s">
        <v>24</v>
      </c>
      <c r="I125" s="28" t="str">
        <f>Table2[[#This Row],[label]]</f>
        <v>ATTN</v>
      </c>
      <c r="J125" s="26" t="s">
        <v>56</v>
      </c>
      <c r="K125" s="29"/>
      <c r="L125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storage.type.class.${1:/downcase}._tag.shout._feeling.alert.text.noted</v>
      </c>
      <c r="M125" s="17" t="str">
        <f>"" &amp;  IF(Table2[[#This Row],[hasUnsafeRegex]] = 0, Table2[[#This Row],[regexTermInput]], "(?:" &amp; Table2[[#This Row],[regexTermInput]] &amp; ")")</f>
        <v>ATTN</v>
      </c>
      <c r="N125" s="19">
        <f>IF( IFERROR( FIND("$", Table2[[#This Row],[unsafeRegexGuess]]), 0) &lt;=0, 0, 1)</f>
        <v>0</v>
      </c>
      <c r="O125" s="19">
        <f>IF( IFERROR( FIND("$", Table2[[#This Row],[anyRegexGuess]]), 0) &lt;=0, 0, 1)</f>
        <v>0</v>
      </c>
      <c r="P125" s="21" t="str">
        <f>SUBSTITUTE( SUBSTITUTE( SUBSTITUTE(SUBSTITUTE(Table2[[#This Row],[unsafeRegexGuess]], ")", "$"), "*", "$"), "+", "$"), "?", "$")</f>
        <v>ATTN</v>
      </c>
      <c r="Q125" s="21" t="str">
        <f xml:space="preserve"> SUBSTITUTE( SUBSTITUTE( SUBSTITUTE(Table2[[#This Row],[regexTermInput]], "(", "$"), "|", "$"), "^", "$")</f>
        <v>ATTN</v>
      </c>
      <c r="R125"/>
      <c r="S125"/>
      <c r="T125"/>
      <c r="U125"/>
      <c r="V125"/>
      <c r="W125"/>
      <c r="X125"/>
      <c r="Z125"/>
    </row>
    <row r="126" spans="2:26" x14ac:dyDescent="0.25">
      <c r="B126" s="15">
        <f>IF( Table2[[#This Row],[target_lang]] = "noted", 1, 0)</f>
        <v>1</v>
      </c>
      <c r="C126" s="15">
        <f xml:space="preserve"> IF( Table2[[#This Row],[target_lang]] = "notedoc", 1, 0)</f>
        <v>0</v>
      </c>
      <c r="D126" s="24" t="s">
        <v>43</v>
      </c>
      <c r="E126" s="18" t="str">
        <f>IF( Table2[[#This Row],[label]] = "", "", IF( Table2[[#This Row],[origin]] = "notedoc",  Table2[[#This Row],[origin]],  "noted"))</f>
        <v>noted</v>
      </c>
      <c r="F126" s="26" t="s">
        <v>100</v>
      </c>
      <c r="G126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g_tag_shout_feeling_alert</v>
      </c>
      <c r="H126" s="27" t="s">
        <v>25</v>
      </c>
      <c r="I126" s="28" t="str">
        <f>Table2[[#This Row],[label]]</f>
        <v>COMBAK</v>
      </c>
      <c r="J126" s="26" t="s">
        <v>56</v>
      </c>
      <c r="K126" s="29"/>
      <c r="L126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storage.type.class.${1:/downcase}._tag.shout._feeling.alert.text.noted</v>
      </c>
      <c r="M126" s="17" t="str">
        <f>"" &amp;  IF(Table2[[#This Row],[hasUnsafeRegex]] = 0, Table2[[#This Row],[regexTermInput]], "(?:" &amp; Table2[[#This Row],[regexTermInput]] &amp; ")")</f>
        <v>COMBAK</v>
      </c>
      <c r="N126" s="19">
        <f>IF( IFERROR( FIND("$", Table2[[#This Row],[unsafeRegexGuess]]), 0) &lt;=0, 0, 1)</f>
        <v>0</v>
      </c>
      <c r="O126" s="19">
        <f>IF( IFERROR( FIND("$", Table2[[#This Row],[anyRegexGuess]]), 0) &lt;=0, 0, 1)</f>
        <v>0</v>
      </c>
      <c r="P126" s="21" t="str">
        <f>SUBSTITUTE( SUBSTITUTE( SUBSTITUTE(SUBSTITUTE(Table2[[#This Row],[unsafeRegexGuess]], ")", "$"), "*", "$"), "+", "$"), "?", "$")</f>
        <v>COMBAK</v>
      </c>
      <c r="Q126" s="21" t="str">
        <f xml:space="preserve"> SUBSTITUTE( SUBSTITUTE( SUBSTITUTE(Table2[[#This Row],[regexTermInput]], "(", "$"), "|", "$"), "^", "$")</f>
        <v>COMBAK</v>
      </c>
      <c r="R126"/>
      <c r="S126"/>
      <c r="T126"/>
      <c r="U126"/>
      <c r="V126"/>
      <c r="W126"/>
      <c r="X126"/>
      <c r="Z126"/>
    </row>
    <row r="127" spans="2:26" x14ac:dyDescent="0.25">
      <c r="B127" s="15">
        <f>IF( Table2[[#This Row],[target_lang]] = "noted", 1, 0)</f>
        <v>1</v>
      </c>
      <c r="C127" s="15">
        <f xml:space="preserve"> IF( Table2[[#This Row],[target_lang]] = "notedoc", 1, 0)</f>
        <v>0</v>
      </c>
      <c r="D127" s="18" t="s">
        <v>43</v>
      </c>
      <c r="E127" s="18" t="str">
        <f>IF( Table2[[#This Row],[label]] = "", "", IF( Table2[[#This Row],[origin]] = "notedoc",  Table2[[#This Row],[origin]],  "noted"))</f>
        <v>noted</v>
      </c>
      <c r="F127" s="26" t="s">
        <v>100</v>
      </c>
      <c r="G127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g_tag_shout_feeling_alert</v>
      </c>
      <c r="H127" s="27" t="s">
        <v>29</v>
      </c>
      <c r="I127" s="28" t="str">
        <f>Table2[[#This Row],[label]]</f>
        <v>TEMP</v>
      </c>
      <c r="J127" s="26" t="s">
        <v>56</v>
      </c>
      <c r="K127" s="29"/>
      <c r="L127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storage.type.class.${1:/downcase}._tag.shout._feeling.alert.text.noted</v>
      </c>
      <c r="M127" s="17" t="str">
        <f>"" &amp;  IF(Table2[[#This Row],[hasUnsafeRegex]] = 0, Table2[[#This Row],[regexTermInput]], "(?:" &amp; Table2[[#This Row],[regexTermInput]] &amp; ")")</f>
        <v>TEMP</v>
      </c>
      <c r="N127" s="19">
        <f>IF( IFERROR( FIND("$", Table2[[#This Row],[unsafeRegexGuess]]), 0) &lt;=0, 0, 1)</f>
        <v>0</v>
      </c>
      <c r="O127" s="19">
        <f>IF( IFERROR( FIND("$", Table2[[#This Row],[anyRegexGuess]]), 0) &lt;=0, 0, 1)</f>
        <v>0</v>
      </c>
      <c r="P127" s="21" t="str">
        <f>SUBSTITUTE( SUBSTITUTE( SUBSTITUTE(SUBSTITUTE(Table2[[#This Row],[unsafeRegexGuess]], ")", "$"), "*", "$"), "+", "$"), "?", "$")</f>
        <v>TEMP</v>
      </c>
      <c r="Q127" s="21" t="str">
        <f xml:space="preserve"> SUBSTITUTE( SUBSTITUTE( SUBSTITUTE(Table2[[#This Row],[regexTermInput]], "(", "$"), "|", "$"), "^", "$")</f>
        <v>TEMP</v>
      </c>
      <c r="R127"/>
      <c r="S127"/>
      <c r="T127"/>
      <c r="U127"/>
      <c r="V127"/>
      <c r="W127"/>
      <c r="X127"/>
      <c r="Z127"/>
    </row>
    <row r="128" spans="2:26" x14ac:dyDescent="0.25">
      <c r="B128" s="15">
        <f>IF( Table2[[#This Row],[target_lang]] = "noted", 1, 0)</f>
        <v>1</v>
      </c>
      <c r="C128" s="15">
        <f xml:space="preserve"> IF( Table2[[#This Row],[target_lang]] = "notedoc", 1, 0)</f>
        <v>0</v>
      </c>
      <c r="D128" s="18" t="s">
        <v>43</v>
      </c>
      <c r="E128" s="18" t="str">
        <f>IF( Table2[[#This Row],[label]] = "", "", IF( Table2[[#This Row],[origin]] = "notedoc",  Table2[[#This Row],[origin]],  "noted"))</f>
        <v>noted</v>
      </c>
      <c r="F128" s="26" t="s">
        <v>100</v>
      </c>
      <c r="G128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g_tag_shout_feeling_alert</v>
      </c>
      <c r="H128" s="27" t="s">
        <v>30</v>
      </c>
      <c r="I128" s="28" t="str">
        <f>Table2[[#This Row],[label]]</f>
        <v>XXX</v>
      </c>
      <c r="J128" s="26" t="s">
        <v>56</v>
      </c>
      <c r="K128" s="29"/>
      <c r="L128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storage.type.class.${1:/downcase}._tag.shout._feeling.alert.text.noted</v>
      </c>
      <c r="M128" s="17" t="str">
        <f>"" &amp;  IF(Table2[[#This Row],[hasUnsafeRegex]] = 0, Table2[[#This Row],[regexTermInput]], "(?:" &amp; Table2[[#This Row],[regexTermInput]] &amp; ")")</f>
        <v>XXX</v>
      </c>
      <c r="N128" s="19">
        <f>IF( IFERROR( FIND("$", Table2[[#This Row],[unsafeRegexGuess]]), 0) &lt;=0, 0, 1)</f>
        <v>0</v>
      </c>
      <c r="O128" s="19">
        <f>IF( IFERROR( FIND("$", Table2[[#This Row],[anyRegexGuess]]), 0) &lt;=0, 0, 1)</f>
        <v>0</v>
      </c>
      <c r="P128" s="21" t="str">
        <f>SUBSTITUTE( SUBSTITUTE( SUBSTITUTE(SUBSTITUTE(Table2[[#This Row],[unsafeRegexGuess]], ")", "$"), "*", "$"), "+", "$"), "?", "$")</f>
        <v>XXX</v>
      </c>
      <c r="Q128" s="21" t="str">
        <f xml:space="preserve"> SUBSTITUTE( SUBSTITUTE( SUBSTITUTE(Table2[[#This Row],[regexTermInput]], "(", "$"), "|", "$"), "^", "$")</f>
        <v>XXX</v>
      </c>
      <c r="R128"/>
      <c r="S128"/>
      <c r="T128"/>
      <c r="U128"/>
      <c r="V128"/>
      <c r="W128"/>
      <c r="X128"/>
      <c r="Z128"/>
    </row>
    <row r="129" spans="2:26" x14ac:dyDescent="0.25">
      <c r="B129" s="15">
        <f>IF( Table2[[#This Row],[target_lang]] = "noted", 1, 0)</f>
        <v>1</v>
      </c>
      <c r="C129" s="15">
        <f xml:space="preserve"> IF( Table2[[#This Row],[target_lang]] = "notedoc", 1, 0)</f>
        <v>0</v>
      </c>
      <c r="D129" s="18" t="s">
        <v>48</v>
      </c>
      <c r="E129" s="18" t="str">
        <f>IF( Table2[[#This Row],[label]] = "", "", IF( Table2[[#This Row],[origin]] = "notedoc",  Table2[[#This Row],[origin]],  "noted"))</f>
        <v>noted</v>
      </c>
      <c r="F129" s="26" t="s">
        <v>100</v>
      </c>
      <c r="G129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g_tag_shout_feeling_bad</v>
      </c>
      <c r="H129" s="27" t="s">
        <v>35</v>
      </c>
      <c r="I129" s="28" t="str">
        <f>Table2[[#This Row],[label]]</f>
        <v>ERR</v>
      </c>
      <c r="J129" s="26" t="s">
        <v>65</v>
      </c>
      <c r="K129" s="29"/>
      <c r="L129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storage.type.class.${1:/downcase}._tag.shout._feeling.bad.text.noted</v>
      </c>
      <c r="M129" s="17" t="str">
        <f>"" &amp;  IF(Table2[[#This Row],[hasUnsafeRegex]] = 0, Table2[[#This Row],[regexTermInput]], "(?:" &amp; Table2[[#This Row],[regexTermInput]] &amp; ")")</f>
        <v>ERR</v>
      </c>
      <c r="N129" s="19">
        <f>IF( IFERROR( FIND("$", Table2[[#This Row],[unsafeRegexGuess]]), 0) &lt;=0, 0, 1)</f>
        <v>0</v>
      </c>
      <c r="O129" s="19">
        <f>IF( IFERROR( FIND("$", Table2[[#This Row],[anyRegexGuess]]), 0) &lt;=0, 0, 1)</f>
        <v>0</v>
      </c>
      <c r="P129" s="21" t="str">
        <f>SUBSTITUTE( SUBSTITUTE( SUBSTITUTE(SUBSTITUTE(Table2[[#This Row],[unsafeRegexGuess]], ")", "$"), "*", "$"), "+", "$"), "?", "$")</f>
        <v>ERR</v>
      </c>
      <c r="Q129" s="21" t="str">
        <f xml:space="preserve"> SUBSTITUTE( SUBSTITUTE( SUBSTITUTE(Table2[[#This Row],[regexTermInput]], "(", "$"), "|", "$"), "^", "$")</f>
        <v>ERR</v>
      </c>
      <c r="R129"/>
      <c r="S129"/>
      <c r="T129"/>
      <c r="U129"/>
      <c r="V129"/>
      <c r="W129"/>
      <c r="X129"/>
      <c r="Z129"/>
    </row>
    <row r="130" spans="2:26" x14ac:dyDescent="0.25">
      <c r="B130" s="15">
        <f>IF( Table2[[#This Row],[target_lang]] = "noted", 1, 0)</f>
        <v>1</v>
      </c>
      <c r="C130" s="15">
        <f xml:space="preserve"> IF( Table2[[#This Row],[target_lang]] = "notedoc", 1, 0)</f>
        <v>0</v>
      </c>
      <c r="D130" s="18" t="s">
        <v>43</v>
      </c>
      <c r="E130" s="18" t="str">
        <f>IF( Table2[[#This Row],[label]] = "", "", IF( Table2[[#This Row],[origin]] = "notedoc",  Table2[[#This Row],[origin]],  "noted"))</f>
        <v>noted</v>
      </c>
      <c r="F130" s="26" t="s">
        <v>100</v>
      </c>
      <c r="G130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g_tag_shout_feeling_bad</v>
      </c>
      <c r="H130" s="27" t="s">
        <v>26</v>
      </c>
      <c r="I130" s="28" t="str">
        <f>Table2[[#This Row],[label]]</f>
        <v>HACK</v>
      </c>
      <c r="J130" s="26" t="s">
        <v>65</v>
      </c>
      <c r="K130" s="29"/>
      <c r="L130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storage.type.class.${1:/downcase}._tag.shout._feeling.bad.text.noted</v>
      </c>
      <c r="M130" s="17" t="str">
        <f>"" &amp;  IF(Table2[[#This Row],[hasUnsafeRegex]] = 0, Table2[[#This Row],[regexTermInput]], "(?:" &amp; Table2[[#This Row],[regexTermInput]] &amp; ")")</f>
        <v>HACK</v>
      </c>
      <c r="N130" s="19">
        <f>IF( IFERROR( FIND("$", Table2[[#This Row],[unsafeRegexGuess]]), 0) &lt;=0, 0, 1)</f>
        <v>0</v>
      </c>
      <c r="O130" s="19">
        <f>IF( IFERROR( FIND("$", Table2[[#This Row],[anyRegexGuess]]), 0) &lt;=0, 0, 1)</f>
        <v>0</v>
      </c>
      <c r="P130" s="21" t="str">
        <f>SUBSTITUTE( SUBSTITUTE( SUBSTITUTE(SUBSTITUTE(Table2[[#This Row],[unsafeRegexGuess]], ")", "$"), "*", "$"), "+", "$"), "?", "$")</f>
        <v>HACK</v>
      </c>
      <c r="Q130" s="21" t="str">
        <f xml:space="preserve"> SUBSTITUTE( SUBSTITUTE( SUBSTITUTE(Table2[[#This Row],[regexTermInput]], "(", "$"), "|", "$"), "^", "$")</f>
        <v>HACK</v>
      </c>
      <c r="R130"/>
      <c r="S130"/>
      <c r="T130"/>
      <c r="U130"/>
      <c r="V130"/>
      <c r="W130"/>
      <c r="X130"/>
      <c r="Z130"/>
    </row>
    <row r="131" spans="2:26" x14ac:dyDescent="0.25">
      <c r="B131" s="15">
        <f>IF( Table2[[#This Row],[target_lang]] = "noted", 1, 0)</f>
        <v>1</v>
      </c>
      <c r="C131" s="15">
        <f xml:space="preserve"> IF( Table2[[#This Row],[target_lang]] = "notedoc", 1, 0)</f>
        <v>0</v>
      </c>
      <c r="D131" s="24" t="s">
        <v>43</v>
      </c>
      <c r="E131" s="18" t="str">
        <f>IF( Table2[[#This Row],[label]] = "", "", IF( Table2[[#This Row],[origin]] = "notedoc",  Table2[[#This Row],[origin]],  "noted"))</f>
        <v>noted</v>
      </c>
      <c r="F131" s="26" t="s">
        <v>100</v>
      </c>
      <c r="G131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g_tag_shout_feeling_bad</v>
      </c>
      <c r="H131" s="27" t="s">
        <v>28</v>
      </c>
      <c r="I131" s="28" t="str">
        <f>Table2[[#This Row],[label]]</f>
        <v>WARNING</v>
      </c>
      <c r="J131" s="26" t="s">
        <v>65</v>
      </c>
      <c r="K131" s="29"/>
      <c r="L131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storage.type.class.${1:/downcase}._tag.shout._feeling.bad.text.noted</v>
      </c>
      <c r="M131" s="17" t="str">
        <f>"" &amp;  IF(Table2[[#This Row],[hasUnsafeRegex]] = 0, Table2[[#This Row],[regexTermInput]], "(?:" &amp; Table2[[#This Row],[regexTermInput]] &amp; ")")</f>
        <v>WARNING</v>
      </c>
      <c r="N131" s="19">
        <f>IF( IFERROR( FIND("$", Table2[[#This Row],[unsafeRegexGuess]]), 0) &lt;=0, 0, 1)</f>
        <v>0</v>
      </c>
      <c r="O131" s="19">
        <f>IF( IFERROR( FIND("$", Table2[[#This Row],[anyRegexGuess]]), 0) &lt;=0, 0, 1)</f>
        <v>0</v>
      </c>
      <c r="P131" s="21" t="str">
        <f>SUBSTITUTE( SUBSTITUTE( SUBSTITUTE(SUBSTITUTE(Table2[[#This Row],[unsafeRegexGuess]], ")", "$"), "*", "$"), "+", "$"), "?", "$")</f>
        <v>WARNING</v>
      </c>
      <c r="Q131" s="21" t="str">
        <f xml:space="preserve"> SUBSTITUTE( SUBSTITUTE( SUBSTITUTE(Table2[[#This Row],[regexTermInput]], "(", "$"), "|", "$"), "^", "$")</f>
        <v>WARNING</v>
      </c>
      <c r="R131"/>
      <c r="S131"/>
      <c r="T131"/>
      <c r="U131"/>
      <c r="V131"/>
      <c r="W131"/>
      <c r="X131"/>
      <c r="Z131"/>
    </row>
    <row r="132" spans="2:26" x14ac:dyDescent="0.25">
      <c r="B132" s="15">
        <f>IF( Table2[[#This Row],[target_lang]] = "noted", 1, 0)</f>
        <v>1</v>
      </c>
      <c r="C132" s="15">
        <f xml:space="preserve"> IF( Table2[[#This Row],[target_lang]] = "notedoc", 1, 0)</f>
        <v>0</v>
      </c>
      <c r="D132" s="18" t="s">
        <v>48</v>
      </c>
      <c r="E132" s="18" t="str">
        <f>IF( Table2[[#This Row],[label]] = "", "", IF( Table2[[#This Row],[origin]] = "notedoc",  Table2[[#This Row],[origin]],  "noted"))</f>
        <v>noted</v>
      </c>
      <c r="F132" s="26" t="s">
        <v>100</v>
      </c>
      <c r="G132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g_tag_shout_feeling_ok</v>
      </c>
      <c r="H132" s="27" t="s">
        <v>15</v>
      </c>
      <c r="I132" s="28" t="str">
        <f>Table2[[#This Row],[label]]</f>
        <v>CHGME</v>
      </c>
      <c r="J132" s="26" t="s">
        <v>256</v>
      </c>
      <c r="K132" s="29"/>
      <c r="L132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storage.type.class.${1:/downcase}._tag.shout._feeling.ok.text.noted</v>
      </c>
      <c r="M132" s="17" t="str">
        <f>"" &amp;  IF(Table2[[#This Row],[hasUnsafeRegex]] = 0, Table2[[#This Row],[regexTermInput]], "(?:" &amp; Table2[[#This Row],[regexTermInput]] &amp; ")")</f>
        <v>CHGME</v>
      </c>
      <c r="N132" s="19">
        <f>IF( IFERROR( FIND("$", Table2[[#This Row],[unsafeRegexGuess]]), 0) &lt;=0, 0, 1)</f>
        <v>0</v>
      </c>
      <c r="O132" s="19">
        <f>IF( IFERROR( FIND("$", Table2[[#This Row],[anyRegexGuess]]), 0) &lt;=0, 0, 1)</f>
        <v>0</v>
      </c>
      <c r="P132" s="21" t="str">
        <f>SUBSTITUTE( SUBSTITUTE( SUBSTITUTE(SUBSTITUTE(Table2[[#This Row],[unsafeRegexGuess]], ")", "$"), "*", "$"), "+", "$"), "?", "$")</f>
        <v>CHGME</v>
      </c>
      <c r="Q132" s="21" t="str">
        <f xml:space="preserve"> SUBSTITUTE( SUBSTITUTE( SUBSTITUTE(Table2[[#This Row],[regexTermInput]], "(", "$"), "|", "$"), "^", "$")</f>
        <v>CHGME</v>
      </c>
      <c r="R132"/>
      <c r="S132"/>
      <c r="T132"/>
      <c r="U132"/>
      <c r="V132"/>
      <c r="W132"/>
      <c r="X132"/>
      <c r="Z132"/>
    </row>
    <row r="133" spans="2:26" x14ac:dyDescent="0.25">
      <c r="B133" s="15">
        <f>IF( Table2[[#This Row],[target_lang]] = "noted", 1, 0)</f>
        <v>0</v>
      </c>
      <c r="C133" s="15">
        <f xml:space="preserve"> IF( Table2[[#This Row],[target_lang]] = "notedoc", 1, 0)</f>
        <v>0</v>
      </c>
      <c r="D133" s="18"/>
      <c r="E133" s="18" t="str">
        <f>IF( Table2[[#This Row],[label]] = "", "", IF( Table2[[#This Row],[origin]] = "notedoc",  Table2[[#This Row],[origin]],  "noted"))</f>
        <v/>
      </c>
      <c r="F133" s="26" t="s">
        <v>50</v>
      </c>
      <c r="G133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/>
      </c>
      <c r="H133" s="27" t="s">
        <v>163</v>
      </c>
      <c r="I133" s="28" t="str">
        <f>Table2[[#This Row],[label]]</f>
        <v/>
      </c>
      <c r="J133" s="26" t="str">
        <f>""</f>
        <v/>
      </c>
      <c r="K133" s="29"/>
      <c r="L133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M133" s="17" t="str">
        <f>"" &amp;  IF(Table2[[#This Row],[hasUnsafeRegex]] = 0, Table2[[#This Row],[regexTermInput]], "(?:" &amp; Table2[[#This Row],[regexTermInput]] &amp; ")")</f>
        <v/>
      </c>
      <c r="N133" s="19">
        <f>IF( IFERROR( FIND("$", Table2[[#This Row],[unsafeRegexGuess]]), 0) &lt;=0, 0, 1)</f>
        <v>0</v>
      </c>
      <c r="O133" s="19">
        <f>IF( IFERROR( FIND("$", Table2[[#This Row],[anyRegexGuess]]), 0) &lt;=0, 0, 1)</f>
        <v>0</v>
      </c>
      <c r="P133" s="21" t="str">
        <f>SUBSTITUTE( SUBSTITUTE( SUBSTITUTE(SUBSTITUTE(Table2[[#This Row],[unsafeRegexGuess]], ")", "$"), "*", "$"), "+", "$"), "?", "$")</f>
        <v/>
      </c>
      <c r="Q133" s="21" t="str">
        <f xml:space="preserve"> SUBSTITUTE( SUBSTITUTE( SUBSTITUTE(Table2[[#This Row],[regexTermInput]], "(", "$"), "|", "$"), "^", "$")</f>
        <v/>
      </c>
      <c r="R133"/>
      <c r="S133"/>
      <c r="T133"/>
      <c r="U133"/>
      <c r="V133"/>
      <c r="W133"/>
      <c r="X133"/>
      <c r="Z133"/>
    </row>
    <row r="134" spans="2:26" x14ac:dyDescent="0.25">
      <c r="B134" s="15">
        <f>IF( Table2[[#This Row],[target_lang]] = "noted", 1, 0)</f>
        <v>1</v>
      </c>
      <c r="C134" s="15">
        <f xml:space="preserve"> IF( Table2[[#This Row],[target_lang]] = "notedoc", 1, 0)</f>
        <v>0</v>
      </c>
      <c r="D134" s="18" t="s">
        <v>48</v>
      </c>
      <c r="E134" s="18" t="str">
        <f>IF( Table2[[#This Row],[label]] = "", "", IF( Table2[[#This Row],[origin]] = "notedoc",  Table2[[#This Row],[origin]],  "noted"))</f>
        <v>noted</v>
      </c>
      <c r="F134" s="26" t="s">
        <v>50</v>
      </c>
      <c r="G134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g_tag_spook_feeling_bad</v>
      </c>
      <c r="H134" s="27" t="s">
        <v>31</v>
      </c>
      <c r="I134" s="28" t="str">
        <f>Table2[[#This Row],[label]]</f>
        <v>DEPRECATED</v>
      </c>
      <c r="J134" s="26" t="s">
        <v>65</v>
      </c>
      <c r="K134" s="29"/>
      <c r="L134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storage.type.class.${1:/downcase}._tag.spook._feeling.bad.text.noted</v>
      </c>
      <c r="M134" s="17" t="str">
        <f>"" &amp;  IF(Table2[[#This Row],[hasUnsafeRegex]] = 0, Table2[[#This Row],[regexTermInput]], "(?:" &amp; Table2[[#This Row],[regexTermInput]] &amp; ")")</f>
        <v>DEPRECATED</v>
      </c>
      <c r="N134" s="19">
        <f>IF( IFERROR( FIND("$", Table2[[#This Row],[unsafeRegexGuess]]), 0) &lt;=0, 0, 1)</f>
        <v>0</v>
      </c>
      <c r="O134" s="19">
        <f>IF( IFERROR( FIND("$", Table2[[#This Row],[anyRegexGuess]]), 0) &lt;=0, 0, 1)</f>
        <v>0</v>
      </c>
      <c r="P134" s="21" t="str">
        <f>SUBSTITUTE( SUBSTITUTE( SUBSTITUTE(SUBSTITUTE(Table2[[#This Row],[unsafeRegexGuess]], ")", "$"), "*", "$"), "+", "$"), "?", "$")</f>
        <v>DEPRECATED</v>
      </c>
      <c r="Q134" s="21" t="str">
        <f xml:space="preserve"> SUBSTITUTE( SUBSTITUTE( SUBSTITUTE(Table2[[#This Row],[regexTermInput]], "(", "$"), "|", "$"), "^", "$")</f>
        <v>DEPRECATED</v>
      </c>
      <c r="R134"/>
      <c r="S134"/>
      <c r="T134"/>
      <c r="U134"/>
      <c r="V134"/>
      <c r="W134"/>
      <c r="X134"/>
      <c r="Z134"/>
    </row>
    <row r="135" spans="2:26" x14ac:dyDescent="0.25">
      <c r="B135" s="15">
        <f>IF( Table2[[#This Row],[target_lang]] = "noted", 1, 0)</f>
        <v>1</v>
      </c>
      <c r="C135" s="15">
        <f xml:space="preserve"> IF( Table2[[#This Row],[target_lang]] = "notedoc", 1, 0)</f>
        <v>0</v>
      </c>
      <c r="D135" s="18" t="s">
        <v>51</v>
      </c>
      <c r="E135" s="18" t="str">
        <f>IF( Table2[[#This Row],[label]] = "", "", IF( Table2[[#This Row],[origin]] = "notedoc",  Table2[[#This Row],[origin]],  "noted"))</f>
        <v>noted</v>
      </c>
      <c r="F135" s="26" t="s">
        <v>50</v>
      </c>
      <c r="G135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g_tag_spook_feeling_bad</v>
      </c>
      <c r="H135" s="27" t="s">
        <v>59</v>
      </c>
      <c r="I135" s="28" t="str">
        <f>Table2[[#This Row],[label]]</f>
        <v>MAYBREAK</v>
      </c>
      <c r="J135" s="26" t="s">
        <v>65</v>
      </c>
      <c r="K135" s="29"/>
      <c r="L135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storage.type.class.${1:/downcase}._tag.spook._feeling.bad.text.noted</v>
      </c>
      <c r="M135" s="17" t="str">
        <f>"" &amp;  IF(Table2[[#This Row],[hasUnsafeRegex]] = 0, Table2[[#This Row],[regexTermInput]], "(?:" &amp; Table2[[#This Row],[regexTermInput]] &amp; ")")</f>
        <v>MAYBREAK</v>
      </c>
      <c r="N135" s="19">
        <f>IF( IFERROR( FIND("$", Table2[[#This Row],[unsafeRegexGuess]]), 0) &lt;=0, 0, 1)</f>
        <v>0</v>
      </c>
      <c r="O135" s="19">
        <f>IF( IFERROR( FIND("$", Table2[[#This Row],[anyRegexGuess]]), 0) &lt;=0, 0, 1)</f>
        <v>0</v>
      </c>
      <c r="P135" s="21" t="str">
        <f>SUBSTITUTE( SUBSTITUTE( SUBSTITUTE(SUBSTITUTE(Table2[[#This Row],[unsafeRegexGuess]], ")", "$"), "*", "$"), "+", "$"), "?", "$")</f>
        <v>MAYBREAK</v>
      </c>
      <c r="Q135" s="21" t="str">
        <f xml:space="preserve"> SUBSTITUTE( SUBSTITUTE( SUBSTITUTE(Table2[[#This Row],[regexTermInput]], "(", "$"), "|", "$"), "^", "$")</f>
        <v>MAYBREAK</v>
      </c>
      <c r="R135"/>
      <c r="S135"/>
      <c r="T135"/>
      <c r="U135"/>
      <c r="V135"/>
      <c r="W135"/>
      <c r="X135"/>
      <c r="Z135"/>
    </row>
    <row r="136" spans="2:26" x14ac:dyDescent="0.25">
      <c r="B136" s="15">
        <f>IF( Table2[[#This Row],[target_lang]] = "noted", 1, 0)</f>
        <v>0</v>
      </c>
      <c r="C136" s="15">
        <f xml:space="preserve"> IF( Table2[[#This Row],[target_lang]] = "notedoc", 1, 0)</f>
        <v>0</v>
      </c>
      <c r="D136" s="18" t="s">
        <v>51</v>
      </c>
      <c r="E136" s="18" t="str">
        <f>IF( Table2[[#This Row],[label]] = "", "", IF( Table2[[#This Row],[origin]] = "notedoc",  Table2[[#This Row],[origin]],  "noted"))</f>
        <v/>
      </c>
      <c r="F136" s="26" t="s">
        <v>58</v>
      </c>
      <c r="G136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/>
      </c>
      <c r="H136" s="27" t="str">
        <f>""</f>
        <v/>
      </c>
      <c r="I136" s="28" t="str">
        <f>Table2[[#This Row],[label]]</f>
        <v/>
      </c>
      <c r="J136" s="26" t="str">
        <f>""</f>
        <v/>
      </c>
      <c r="K136" s="29" t="str">
        <f>""</f>
        <v/>
      </c>
      <c r="L136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M136" s="17" t="str">
        <f>"" &amp;  IF(Table2[[#This Row],[hasUnsafeRegex]] = 0, Table2[[#This Row],[regexTermInput]], "(?:" &amp; Table2[[#This Row],[regexTermInput]] &amp; ")")</f>
        <v/>
      </c>
      <c r="N136" s="19">
        <f>IF( IFERROR( FIND("$", Table2[[#This Row],[unsafeRegexGuess]]), 0) &lt;=0, 0, 1)</f>
        <v>0</v>
      </c>
      <c r="O136" s="19">
        <f>IF( IFERROR( FIND("$", Table2[[#This Row],[anyRegexGuess]]), 0) &lt;=0, 0, 1)</f>
        <v>0</v>
      </c>
      <c r="P136" s="21" t="str">
        <f>SUBSTITUTE( SUBSTITUTE( SUBSTITUTE(SUBSTITUTE(Table2[[#This Row],[unsafeRegexGuess]], ")", "$"), "*", "$"), "+", "$"), "?", "$")</f>
        <v/>
      </c>
      <c r="Q136" s="21" t="str">
        <f xml:space="preserve"> SUBSTITUTE( SUBSTITUTE( SUBSTITUTE(Table2[[#This Row],[regexTermInput]], "(", "$"), "|", "$"), "^", "$")</f>
        <v/>
      </c>
      <c r="R136"/>
      <c r="S136"/>
      <c r="T136"/>
      <c r="U136"/>
      <c r="V136"/>
      <c r="W136"/>
      <c r="X136"/>
      <c r="Z136"/>
    </row>
    <row r="137" spans="2:26" x14ac:dyDescent="0.25">
      <c r="B137" s="15">
        <f>IF( Table2[[#This Row],[target_lang]] = "noted", 1, 0)</f>
        <v>1</v>
      </c>
      <c r="C137" s="15">
        <f xml:space="preserve"> IF( Table2[[#This Row],[target_lang]] = "notedoc", 1, 0)</f>
        <v>0</v>
      </c>
      <c r="D137" s="18" t="s">
        <v>48</v>
      </c>
      <c r="E137" s="18" t="str">
        <f>IF( Table2[[#This Row],[label]] = "", "", IF( Table2[[#This Row],[origin]] = "notedoc",  Table2[[#This Row],[origin]],  "noted"))</f>
        <v>noted</v>
      </c>
      <c r="F137" s="26" t="s">
        <v>58</v>
      </c>
      <c r="G137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g_tag_status_feeling_bad</v>
      </c>
      <c r="H137" s="27" t="s">
        <v>17</v>
      </c>
      <c r="I137" s="28" t="str">
        <f>Table2[[#This Row],[label]]</f>
        <v>NOTREACHED</v>
      </c>
      <c r="J137" s="26" t="s">
        <v>65</v>
      </c>
      <c r="K137" s="29"/>
      <c r="L137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storage.type.class.${1:/downcase}._tag.status._feeling.bad.text.noted</v>
      </c>
      <c r="M137" s="17" t="str">
        <f>"" &amp;  IF(Table2[[#This Row],[hasUnsafeRegex]] = 0, Table2[[#This Row],[regexTermInput]], "(?:" &amp; Table2[[#This Row],[regexTermInput]] &amp; ")")</f>
        <v>NOTREACHED</v>
      </c>
      <c r="N137" s="19">
        <f>IF( IFERROR( FIND("$", Table2[[#This Row],[unsafeRegexGuess]]), 0) &lt;=0, 0, 1)</f>
        <v>0</v>
      </c>
      <c r="O137" s="19">
        <f>IF( IFERROR( FIND("$", Table2[[#This Row],[anyRegexGuess]]), 0) &lt;=0, 0, 1)</f>
        <v>0</v>
      </c>
      <c r="P137" s="21" t="str">
        <f>SUBSTITUTE( SUBSTITUTE( SUBSTITUTE(SUBSTITUTE(Table2[[#This Row],[unsafeRegexGuess]], ")", "$"), "*", "$"), "+", "$"), "?", "$")</f>
        <v>NOTREACHED</v>
      </c>
      <c r="Q137" s="21" t="str">
        <f xml:space="preserve"> SUBSTITUTE( SUBSTITUTE( SUBSTITUTE(Table2[[#This Row],[regexTermInput]], "(", "$"), "|", "$"), "^", "$")</f>
        <v>NOTREACHED</v>
      </c>
      <c r="R137"/>
      <c r="S137"/>
      <c r="T137"/>
      <c r="U137"/>
      <c r="V137"/>
      <c r="W137"/>
      <c r="X137"/>
      <c r="Z137"/>
    </row>
    <row r="138" spans="2:26" x14ac:dyDescent="0.25">
      <c r="B138" s="15">
        <f>IF( Table2[[#This Row],[target_lang]] = "noted", 1, 0)</f>
        <v>1</v>
      </c>
      <c r="C138" s="15">
        <f xml:space="preserve"> IF( Table2[[#This Row],[target_lang]] = "notedoc", 1, 0)</f>
        <v>0</v>
      </c>
      <c r="D138" s="18" t="s">
        <v>48</v>
      </c>
      <c r="E138" s="18" t="str">
        <f>IF( Table2[[#This Row],[label]] = "", "", IF( Table2[[#This Row],[origin]] = "notedoc",  Table2[[#This Row],[origin]],  "noted"))</f>
        <v>noted</v>
      </c>
      <c r="F138" s="26" t="s">
        <v>58</v>
      </c>
      <c r="G138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g_tag_status_feeling_bad</v>
      </c>
      <c r="H138" s="27" t="s">
        <v>14</v>
      </c>
      <c r="I138" s="28" t="str">
        <f>Table2[[#This Row],[label]]</f>
        <v>UNDONE</v>
      </c>
      <c r="J138" s="26" t="s">
        <v>65</v>
      </c>
      <c r="K138" s="29"/>
      <c r="L138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storage.type.class.${1:/downcase}._tag.status._feeling.bad.text.noted</v>
      </c>
      <c r="M138" s="17" t="str">
        <f>"" &amp;  IF(Table2[[#This Row],[hasUnsafeRegex]] = 0, Table2[[#This Row],[regexTermInput]], "(?:" &amp; Table2[[#This Row],[regexTermInput]] &amp; ")")</f>
        <v>UNDONE</v>
      </c>
      <c r="N138" s="19">
        <f>IF( IFERROR( FIND("$", Table2[[#This Row],[unsafeRegexGuess]]), 0) &lt;=0, 0, 1)</f>
        <v>0</v>
      </c>
      <c r="O138" s="19">
        <f>IF( IFERROR( FIND("$", Table2[[#This Row],[anyRegexGuess]]), 0) &lt;=0, 0, 1)</f>
        <v>0</v>
      </c>
      <c r="P138" s="21" t="str">
        <f>SUBSTITUTE( SUBSTITUTE( SUBSTITUTE(SUBSTITUTE(Table2[[#This Row],[unsafeRegexGuess]], ")", "$"), "*", "$"), "+", "$"), "?", "$")</f>
        <v>UNDONE</v>
      </c>
      <c r="Q138" s="21" t="str">
        <f xml:space="preserve"> SUBSTITUTE( SUBSTITUTE( SUBSTITUTE(Table2[[#This Row],[regexTermInput]], "(", "$"), "|", "$"), "^", "$")</f>
        <v>UNDONE</v>
      </c>
      <c r="R138"/>
      <c r="S138"/>
      <c r="T138"/>
      <c r="U138"/>
      <c r="V138"/>
      <c r="W138"/>
      <c r="X138"/>
      <c r="Z138"/>
    </row>
    <row r="139" spans="2:26" x14ac:dyDescent="0.25">
      <c r="B139" s="15">
        <f>IF( Table2[[#This Row],[target_lang]] = "noted", 1, 0)</f>
        <v>1</v>
      </c>
      <c r="C139" s="15">
        <f xml:space="preserve"> IF( Table2[[#This Row],[target_lang]] = "notedoc", 1, 0)</f>
        <v>0</v>
      </c>
      <c r="D139" s="18" t="s">
        <v>51</v>
      </c>
      <c r="E139" s="18" t="str">
        <f>IF( Table2[[#This Row],[label]] = "", "", IF( Table2[[#This Row],[origin]] = "notedoc",  Table2[[#This Row],[origin]],  "noted"))</f>
        <v>noted</v>
      </c>
      <c r="F139" s="26" t="s">
        <v>58</v>
      </c>
      <c r="G139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g_tag_status_feeling_ok</v>
      </c>
      <c r="H139" s="27" t="s">
        <v>61</v>
      </c>
      <c r="I139" s="28" t="str">
        <f>Table2[[#This Row],[label]]</f>
        <v>DONE</v>
      </c>
      <c r="J139" s="26" t="s">
        <v>256</v>
      </c>
      <c r="K139" s="29"/>
      <c r="L139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storage.type.class.${1:/downcase}._tag.status._feeling.ok.text.noted</v>
      </c>
      <c r="M139" s="17" t="str">
        <f>"" &amp;  IF(Table2[[#This Row],[hasUnsafeRegex]] = 0, Table2[[#This Row],[regexTermInput]], "(?:" &amp; Table2[[#This Row],[regexTermInput]] &amp; ")")</f>
        <v>DONE</v>
      </c>
      <c r="N139" s="19">
        <f>IF( IFERROR( FIND("$", Table2[[#This Row],[unsafeRegexGuess]]), 0) &lt;=0, 0, 1)</f>
        <v>0</v>
      </c>
      <c r="O139" s="19">
        <f>IF( IFERROR( FIND("$", Table2[[#This Row],[anyRegexGuess]]), 0) &lt;=0, 0, 1)</f>
        <v>0</v>
      </c>
      <c r="P139" s="21" t="str">
        <f>SUBSTITUTE( SUBSTITUTE( SUBSTITUTE(SUBSTITUTE(Table2[[#This Row],[unsafeRegexGuess]], ")", "$"), "*", "$"), "+", "$"), "?", "$")</f>
        <v>DONE</v>
      </c>
      <c r="Q139" s="21" t="str">
        <f xml:space="preserve"> SUBSTITUTE( SUBSTITUTE( SUBSTITUTE(Table2[[#This Row],[regexTermInput]], "(", "$"), "|", "$"), "^", "$")</f>
        <v>DONE</v>
      </c>
      <c r="R139"/>
      <c r="S139"/>
      <c r="T139"/>
      <c r="U139"/>
      <c r="V139"/>
      <c r="W139"/>
      <c r="X139"/>
      <c r="Z139"/>
    </row>
    <row r="140" spans="2:26" x14ac:dyDescent="0.25">
      <c r="B140" s="15">
        <f>IF( Table2[[#This Row],[target_lang]] = "noted", 1, 0)</f>
        <v>1</v>
      </c>
      <c r="C140" s="15">
        <f xml:space="preserve"> IF( Table2[[#This Row],[target_lang]] = "notedoc", 1, 0)</f>
        <v>0</v>
      </c>
      <c r="D140" s="18" t="s">
        <v>51</v>
      </c>
      <c r="E140" s="18" t="str">
        <f>IF( Table2[[#This Row],[label]] = "", "", IF( Table2[[#This Row],[origin]] = "notedoc",  Table2[[#This Row],[origin]],  "noted"))</f>
        <v>noted</v>
      </c>
      <c r="F140" s="26" t="s">
        <v>58</v>
      </c>
      <c r="G140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g_tag_status_feeling_ok</v>
      </c>
      <c r="H140" s="27" t="s">
        <v>12</v>
      </c>
      <c r="I140" s="28" t="str">
        <f>Table2[[#This Row],[label]]</f>
        <v>FIXED</v>
      </c>
      <c r="J140" s="26" t="s">
        <v>256</v>
      </c>
      <c r="K140" s="29"/>
      <c r="L140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storage.type.class.${1:/downcase}._tag.status._feeling.ok.text.noted</v>
      </c>
      <c r="M140" s="17" t="str">
        <f>"" &amp;  IF(Table2[[#This Row],[hasUnsafeRegex]] = 0, Table2[[#This Row],[regexTermInput]], "(?:" &amp; Table2[[#This Row],[regexTermInput]] &amp; ")")</f>
        <v>FIXED</v>
      </c>
      <c r="N140" s="19">
        <f>IF( IFERROR( FIND("$", Table2[[#This Row],[unsafeRegexGuess]]), 0) &lt;=0, 0, 1)</f>
        <v>0</v>
      </c>
      <c r="O140" s="19">
        <f>IF( IFERROR( FIND("$", Table2[[#This Row],[anyRegexGuess]]), 0) &lt;=0, 0, 1)</f>
        <v>0</v>
      </c>
      <c r="P140" s="21" t="str">
        <f>SUBSTITUTE( SUBSTITUTE( SUBSTITUTE(SUBSTITUTE(Table2[[#This Row],[unsafeRegexGuess]], ")", "$"), "*", "$"), "+", "$"), "?", "$")</f>
        <v>FIXED</v>
      </c>
      <c r="Q140" s="21" t="str">
        <f xml:space="preserve"> SUBSTITUTE( SUBSTITUTE( SUBSTITUTE(Table2[[#This Row],[regexTermInput]], "(", "$"), "|", "$"), "^", "$")</f>
        <v>FIXED</v>
      </c>
      <c r="R140"/>
      <c r="S140"/>
      <c r="T140"/>
      <c r="U140"/>
      <c r="V140"/>
      <c r="W140"/>
      <c r="X140"/>
      <c r="Z140"/>
    </row>
    <row r="141" spans="2:26" x14ac:dyDescent="0.25">
      <c r="B141" s="15">
        <f>IF( Table2[[#This Row],[target_lang]] = "noted", 1, 0)</f>
        <v>1</v>
      </c>
      <c r="C141" s="15">
        <f xml:space="preserve"> IF( Table2[[#This Row],[target_lang]] = "notedoc", 1, 0)</f>
        <v>0</v>
      </c>
      <c r="D141" s="18" t="s">
        <v>51</v>
      </c>
      <c r="E141" s="18" t="str">
        <f>IF( Table2[[#This Row],[label]] = "", "", IF( Table2[[#This Row],[origin]] = "notedoc",  Table2[[#This Row],[origin]],  "noted"))</f>
        <v>noted</v>
      </c>
      <c r="F141" s="26" t="s">
        <v>58</v>
      </c>
      <c r="G141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g_tag_status_feeling_ok</v>
      </c>
      <c r="H141" s="27" t="s">
        <v>13</v>
      </c>
      <c r="I141" s="28" t="str">
        <f>Table2[[#This Row],[label]]</f>
        <v>OPTIMIZED</v>
      </c>
      <c r="J141" s="26" t="s">
        <v>256</v>
      </c>
      <c r="K141" s="29"/>
      <c r="L141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storage.type.class.${1:/downcase}._tag.status._feeling.ok.text.noted</v>
      </c>
      <c r="M141" s="17" t="str">
        <f>"" &amp;  IF(Table2[[#This Row],[hasUnsafeRegex]] = 0, Table2[[#This Row],[regexTermInput]], "(?:" &amp; Table2[[#This Row],[regexTermInput]] &amp; ")")</f>
        <v>OPTIMIZED</v>
      </c>
      <c r="N141" s="19">
        <f>IF( IFERROR( FIND("$", Table2[[#This Row],[unsafeRegexGuess]]), 0) &lt;=0, 0, 1)</f>
        <v>0</v>
      </c>
      <c r="O141" s="19">
        <f>IF( IFERROR( FIND("$", Table2[[#This Row],[anyRegexGuess]]), 0) &lt;=0, 0, 1)</f>
        <v>0</v>
      </c>
      <c r="P141" s="21" t="str">
        <f>SUBSTITUTE( SUBSTITUTE( SUBSTITUTE(SUBSTITUTE(Table2[[#This Row],[unsafeRegexGuess]], ")", "$"), "*", "$"), "+", "$"), "?", "$")</f>
        <v>OPTIMIZED</v>
      </c>
      <c r="Q141" s="21" t="str">
        <f xml:space="preserve"> SUBSTITUTE( SUBSTITUTE( SUBSTITUTE(Table2[[#This Row],[regexTermInput]], "(", "$"), "|", "$"), "^", "$")</f>
        <v>OPTIMIZED</v>
      </c>
      <c r="R141"/>
      <c r="S141"/>
      <c r="T141"/>
      <c r="U141"/>
      <c r="V141"/>
      <c r="W141"/>
      <c r="X141"/>
      <c r="Z141"/>
    </row>
    <row r="142" spans="2:26" x14ac:dyDescent="0.25">
      <c r="B142" s="15">
        <f>IF( Table2[[#This Row],[target_lang]] = "noted", 1, 0)</f>
        <v>1</v>
      </c>
      <c r="C142" s="15">
        <f xml:space="preserve"> IF( Table2[[#This Row],[target_lang]] = "notedoc", 1, 0)</f>
        <v>0</v>
      </c>
      <c r="D142" s="18" t="s">
        <v>43</v>
      </c>
      <c r="E142" s="18" t="str">
        <f>IF( Table2[[#This Row],[label]] = "", "", IF( Table2[[#This Row],[origin]] = "notedoc",  Table2[[#This Row],[origin]],  "noted"))</f>
        <v>noted</v>
      </c>
      <c r="F142" s="26" t="s">
        <v>58</v>
      </c>
      <c r="G142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g_tag_status_feeling_ok</v>
      </c>
      <c r="H142" s="27" t="s">
        <v>11</v>
      </c>
      <c r="I142" s="28" t="str">
        <f>Table2[[#This Row],[label]]</f>
        <v>CHANGED</v>
      </c>
      <c r="J142" s="26" t="s">
        <v>256</v>
      </c>
      <c r="K142" s="29"/>
      <c r="L142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storage.type.class.${1:/downcase}._tag.status._feeling.ok.text.noted</v>
      </c>
      <c r="M142" s="17" t="str">
        <f>"" &amp;  IF(Table2[[#This Row],[hasUnsafeRegex]] = 0, Table2[[#This Row],[regexTermInput]], "(?:" &amp; Table2[[#This Row],[regexTermInput]] &amp; ")")</f>
        <v>CHANGED</v>
      </c>
      <c r="N142" s="19">
        <f>IF( IFERROR( FIND("$", Table2[[#This Row],[unsafeRegexGuess]]), 0) &lt;=0, 0, 1)</f>
        <v>0</v>
      </c>
      <c r="O142" s="19">
        <f>IF( IFERROR( FIND("$", Table2[[#This Row],[anyRegexGuess]]), 0) &lt;=0, 0, 1)</f>
        <v>0</v>
      </c>
      <c r="P142" s="21" t="str">
        <f>SUBSTITUTE( SUBSTITUTE( SUBSTITUTE(SUBSTITUTE(Table2[[#This Row],[unsafeRegexGuess]], ")", "$"), "*", "$"), "+", "$"), "?", "$")</f>
        <v>CHANGED</v>
      </c>
      <c r="Q142" s="21" t="str">
        <f xml:space="preserve"> SUBSTITUTE( SUBSTITUTE( SUBSTITUTE(Table2[[#This Row],[regexTermInput]], "(", "$"), "|", "$"), "^", "$")</f>
        <v>CHANGED</v>
      </c>
      <c r="R142"/>
      <c r="S142"/>
      <c r="T142"/>
      <c r="U142"/>
      <c r="V142"/>
      <c r="W142"/>
      <c r="X142"/>
      <c r="Z142"/>
    </row>
    <row r="143" spans="2:26" x14ac:dyDescent="0.25">
      <c r="B143" s="15">
        <f>IF( Table2[[#This Row],[target_lang]] = "noted", 1, 0)</f>
        <v>1</v>
      </c>
      <c r="C143" s="15">
        <f xml:space="preserve"> IF( Table2[[#This Row],[target_lang]] = "notedoc", 1, 0)</f>
        <v>0</v>
      </c>
      <c r="D143" s="18" t="s">
        <v>51</v>
      </c>
      <c r="E143" s="18" t="str">
        <f>IF( Table2[[#This Row],[label]] = "", "", IF( Table2[[#This Row],[origin]] = "notedoc",  Table2[[#This Row],[origin]],  "noted"))</f>
        <v>noted</v>
      </c>
      <c r="F143" s="26" t="s">
        <v>58</v>
      </c>
      <c r="G143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>g_tag_status_feeling_ok</v>
      </c>
      <c r="H143" s="27" t="s">
        <v>64</v>
      </c>
      <c r="I143" s="28" t="str">
        <f>Table2[[#This Row],[label]]</f>
        <v>TESTED</v>
      </c>
      <c r="J143" s="26" t="s">
        <v>256</v>
      </c>
      <c r="K143" s="29"/>
      <c r="L143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>storage.type.class.${1:/downcase}._tag.status._feeling.ok.text.noted</v>
      </c>
      <c r="M143" s="17" t="str">
        <f>"" &amp;  IF(Table2[[#This Row],[hasUnsafeRegex]] = 0, Table2[[#This Row],[regexTermInput]], "(?:" &amp; Table2[[#This Row],[regexTermInput]] &amp; ")")</f>
        <v>TESTED</v>
      </c>
      <c r="N143" s="19">
        <f>IF( IFERROR( FIND("$", Table2[[#This Row],[unsafeRegexGuess]]), 0) &lt;=0, 0, 1)</f>
        <v>0</v>
      </c>
      <c r="O143" s="19">
        <f>IF( IFERROR( FIND("$", Table2[[#This Row],[anyRegexGuess]]), 0) &lt;=0, 0, 1)</f>
        <v>0</v>
      </c>
      <c r="P143" s="21" t="str">
        <f>SUBSTITUTE( SUBSTITUTE( SUBSTITUTE(SUBSTITUTE(Table2[[#This Row],[unsafeRegexGuess]], ")", "$"), "*", "$"), "+", "$"), "?", "$")</f>
        <v>TESTED</v>
      </c>
      <c r="Q143" s="21" t="str">
        <f xml:space="preserve"> SUBSTITUTE( SUBSTITUTE( SUBSTITUTE(Table2[[#This Row],[regexTermInput]], "(", "$"), "|", "$"), "^", "$")</f>
        <v>TESTED</v>
      </c>
      <c r="R143"/>
      <c r="S143"/>
      <c r="T143"/>
      <c r="U143"/>
      <c r="V143"/>
      <c r="W143"/>
      <c r="X143"/>
      <c r="Z143"/>
    </row>
    <row r="144" spans="2:26" x14ac:dyDescent="0.25">
      <c r="B144" s="33"/>
      <c r="C144" s="33"/>
      <c r="D144" s="18"/>
      <c r="E144" s="18"/>
      <c r="F144" s="26"/>
      <c r="G144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/>
      </c>
      <c r="H144" s="27"/>
      <c r="I144" s="28"/>
      <c r="J144" s="26"/>
      <c r="K144" s="34"/>
      <c r="L144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M144" s="35" t="str">
        <f>"" &amp;  IF(Table2[[#This Row],[hasUnsafeRegex]] = 0, Table2[[#This Row],[regexTermInput]], "(?:" &amp; Table2[[#This Row],[regexTermInput]] &amp; ")")</f>
        <v/>
      </c>
      <c r="N144" s="36"/>
      <c r="O144" s="36"/>
      <c r="P144" s="37"/>
      <c r="Q144" s="37"/>
      <c r="R144"/>
      <c r="S144" s="18"/>
      <c r="T144"/>
      <c r="U144"/>
      <c r="V144"/>
      <c r="W144"/>
      <c r="X144"/>
      <c r="Z144"/>
    </row>
    <row r="145" spans="2:26" x14ac:dyDescent="0.25">
      <c r="B145" s="33"/>
      <c r="C145" s="33"/>
      <c r="D145" s="18"/>
      <c r="E145" s="18"/>
      <c r="F145" s="26"/>
      <c r="G145" s="39" t="str">
        <f>SUBSTITUTE(IF( Table2[[#This Row],[regexTermInput]] ="", "", SUBSTITUTE(  SUBSTITUTE( SUBSTITUTE( atom_grammatic_group_template,"{{category}}", Table2[[#This Row],[category]] ), "{{emotion}}",  Table2[[#This Row],[emotion]] ), "{{lang}}",   Table2[[#This Row],[target_lang]] )), ".", "_")</f>
        <v/>
      </c>
      <c r="H145" s="27"/>
      <c r="I145" s="28"/>
      <c r="J145" s="26"/>
      <c r="K145" s="34"/>
      <c r="L145" s="39" t="str">
        <f>IF( Table2[[#This Row],[regexTermInput]] ="", "", SUBSTITUTE(  SUBSTITUTE( SUBSTITUTE( atom_grammatic_name_template,"{{category}}", Table2[[#This Row],[category]] ), "{{emotion}}",  Table2[[#This Row],[emotion]] ), "{{lang}}",   Table2[[#This Row],[target_lang]] ))</f>
        <v/>
      </c>
      <c r="M145" s="35" t="str">
        <f>"" &amp;  IF(Table2[[#This Row],[hasUnsafeRegex]] = 0, Table2[[#This Row],[regexTermInput]], "(?:" &amp; Table2[[#This Row],[regexTermInput]] &amp; ")")</f>
        <v/>
      </c>
      <c r="N145" s="36"/>
      <c r="O145" s="36"/>
      <c r="P145" s="37"/>
      <c r="Q145" s="37"/>
      <c r="R145"/>
      <c r="S145" s="18"/>
      <c r="T145"/>
      <c r="U145"/>
      <c r="V145"/>
      <c r="W145"/>
      <c r="X145"/>
      <c r="Z145"/>
    </row>
  </sheetData>
  <sheetProtection formatCells="0" formatColumns="0" formatRows="0" insertColumns="0" insertRows="0" insertHyperlinks="0" deleteColumns="0" deleteRows="0" sort="0" autoFilter="0" pivotTables="0"/>
  <conditionalFormatting sqref="Q146:Q1048576 J1:J145 I146:I1048576 B1:E145">
    <cfRule type="containsText" dxfId="36" priority="20" operator="containsText" text="extra">
      <formula>NOT(ISERROR(SEARCH("extra",B1)))</formula>
    </cfRule>
  </conditionalFormatting>
  <conditionalFormatting sqref="B146:D1048576 I146:K1048576 M146:U1048576 G146:G1048576">
    <cfRule type="expression" dxfId="35" priority="2" stopIfTrue="1">
      <formula>$Q146=""</formula>
    </cfRule>
  </conditionalFormatting>
  <conditionalFormatting sqref="Q146:Q1048576 J1:J145">
    <cfRule type="containsText" dxfId="34" priority="22" operator="containsText" text="bad">
      <formula>NOT(ISERROR(SEARCH("bad",J1)))</formula>
    </cfRule>
    <cfRule type="containsText" dxfId="33" priority="659" operator="containsText" text="good">
      <formula>NOT(ISERROR(SEARCH("good",J1)))</formula>
    </cfRule>
  </conditionalFormatting>
  <conditionalFormatting sqref="K146:K1048576 M146:N1048576 G146:G1048576 B1:E145">
    <cfRule type="containsText" dxfId="32" priority="18" operator="containsText" text="noted">
      <formula>NOT(ISERROR(SEARCH("noted",B1)))</formula>
    </cfRule>
    <cfRule type="containsText" dxfId="31" priority="21" operator="containsText" text="todo">
      <formula>NOT(ISERROR(SEARCH("todo",B1)))</formula>
    </cfRule>
  </conditionalFormatting>
  <conditionalFormatting sqref="Q146:Q1048576">
    <cfRule type="expression" dxfId="30" priority="12" stopIfTrue="1">
      <formula>$L147 &gt; 0</formula>
    </cfRule>
    <cfRule type="expression" dxfId="29" priority="15">
      <formula>$M147 &gt; 0</formula>
    </cfRule>
  </conditionalFormatting>
  <conditionalFormatting sqref="B1:B1048576">
    <cfRule type="iconSet" priority="9">
      <iconSet iconSet="3Symbols">
        <cfvo type="percent" val="0"/>
        <cfvo type="percent" val="33"/>
        <cfvo type="percent" val="67"/>
      </iconSet>
    </cfRule>
  </conditionalFormatting>
  <conditionalFormatting sqref="C1:C1048576">
    <cfRule type="iconSet" priority="11">
      <iconSet iconSet="3Flags">
        <cfvo type="percent" val="0"/>
        <cfvo type="percent" val="33"/>
        <cfvo type="percent" val="67"/>
      </iconSet>
    </cfRule>
  </conditionalFormatting>
  <conditionalFormatting sqref="N1:N145 R146:R1048576">
    <cfRule type="iconSet" priority="4">
      <iconSet iconSet="4RedToBlack">
        <cfvo type="percent" val="0"/>
        <cfvo type="percent" val="25"/>
        <cfvo type="percent" val="50"/>
        <cfvo type="percent" val="75"/>
      </iconSet>
    </cfRule>
  </conditionalFormatting>
  <conditionalFormatting sqref="O1:O145 V146:V1048576">
    <cfRule type="iconSet" priority="3">
      <iconSet iconSet="4RedToBlack">
        <cfvo type="percent" val="0"/>
        <cfvo type="percent" val="25"/>
        <cfvo type="percent" val="50"/>
        <cfvo type="percent" val="75"/>
      </iconSet>
    </cfRule>
  </conditionalFormatting>
  <conditionalFormatting sqref="O146:O1048576 J1:J145">
    <cfRule type="beginsWith" dxfId="28" priority="17" operator="beginsWith" text="ok">
      <formula>LEFT(J1,LEN("ok"))="ok"</formula>
    </cfRule>
  </conditionalFormatting>
  <conditionalFormatting sqref="B1:Q145">
    <cfRule type="expression" dxfId="27" priority="1" stopIfTrue="1">
      <formula>$M1=""</formula>
    </cfRule>
  </conditionalFormatting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9A62F-25E6-F84A-96E6-690BAE0E4A9A}">
  <dimension ref="B2:J19"/>
  <sheetViews>
    <sheetView workbookViewId="0">
      <selection activeCell="D12" sqref="D12"/>
    </sheetView>
  </sheetViews>
  <sheetFormatPr baseColWidth="10" defaultRowHeight="17" x14ac:dyDescent="0.25"/>
  <cols>
    <col min="1" max="2" width="10.7109375" style="38"/>
    <col min="3" max="3" width="13.7109375" style="38" customWidth="1"/>
    <col min="4" max="4" width="17.7109375" style="38" customWidth="1"/>
    <col min="5" max="5" width="68.42578125" style="38" customWidth="1"/>
    <col min="6" max="6" width="15.28515625" style="38" customWidth="1"/>
    <col min="7" max="8" width="36.5703125" style="38" customWidth="1"/>
    <col min="9" max="9" width="20.85546875" style="38" customWidth="1"/>
    <col min="10" max="16384" width="10.7109375" style="38"/>
  </cols>
  <sheetData>
    <row r="2" spans="2:10" x14ac:dyDescent="0.25">
      <c r="F2" s="38" t="s">
        <v>249</v>
      </c>
      <c r="G2" s="38" t="s">
        <v>250</v>
      </c>
    </row>
    <row r="3" spans="2:10" x14ac:dyDescent="0.25">
      <c r="B3" s="38" t="s">
        <v>251</v>
      </c>
      <c r="C3" s="38" t="s">
        <v>42</v>
      </c>
      <c r="D3" s="38" t="s">
        <v>255</v>
      </c>
      <c r="E3" s="38" t="s">
        <v>198</v>
      </c>
      <c r="F3" s="38" t="s">
        <v>253</v>
      </c>
      <c r="G3" s="38" t="s">
        <v>254</v>
      </c>
      <c r="H3" s="38" t="s">
        <v>238</v>
      </c>
      <c r="I3" s="38" t="s">
        <v>239</v>
      </c>
      <c r="J3" s="38" t="s">
        <v>240</v>
      </c>
    </row>
    <row r="4" spans="2:10" ht="21" customHeight="1" x14ac:dyDescent="0.25">
      <c r="B4" s="38" t="s">
        <v>192</v>
      </c>
      <c r="C4" s="38" t="s">
        <v>116</v>
      </c>
      <c r="D4" s="38" t="str">
        <f>SUBSTITUTE( IF( IFERROR( FIND("doc", Table1[[#This Row],[category]]), 0), "note", Table1[[#This Row],[lang]]  &amp; "." ) &amp; Table1[[#This Row],[category]], ".", "_")</f>
        <v>notedoc_dep</v>
      </c>
      <c r="E4" s="38" t="str">
        <f t="array" ref="E4">_xlfn.TEXTJOIN( "|", TRUE, IF( Table2[category] = Table1[[#This Row],[category]], Table2[regexTerm], "") )</f>
        <v/>
      </c>
      <c r="F4" s="1" t="str">
        <f>re_atom_pattern_begin &amp; Table1[[#This Row],[regexTerm]] &amp; "(" &amp; Table1[[#This Row],[regexTerm]] &amp; ")" &amp; re_atom_pattern_end</f>
        <v>(?:!\w)[@]?(())\b</v>
      </c>
      <c r="G4" s="1" t="str">
        <f>SUBSTITUTE( SUBSTITUTE( Table1[[#This Row],[regex_perl]],  "(?:", "(?&lt;" ), "\", "\\")</f>
        <v>(?&lt;!\\w)[@]?(())\\b</v>
      </c>
      <c r="H4" s="1"/>
      <c r="I4" s="38" t="s">
        <v>241</v>
      </c>
    </row>
    <row r="5" spans="2:10" ht="34" x14ac:dyDescent="0.25">
      <c r="B5" s="38" t="s">
        <v>192</v>
      </c>
      <c r="C5" s="38" t="s">
        <v>139</v>
      </c>
      <c r="D5" s="38" t="str">
        <f>SUBSTITUTE( IF( IFERROR( FIND("doc", Table1[[#This Row],[category]]), 0), "note", Table1[[#This Row],[lang]]  &amp; "." ) &amp; Table1[[#This Row],[category]], ".", "_")</f>
        <v>notedoc_exp</v>
      </c>
      <c r="E5" s="38" t="str">
        <f t="array" ref="E5">_xlfn.TEXTJOIN( "|", TRUE, IF( Table2[category] = Table1[[#This Row],[category]], Table2[regexTerm], "") )</f>
        <v>BREAK|CONTINUE|EXIT|(?:FOR(?:EACH))|IF|LAST|LOOP|NEXT|REF|REPEAT|SWITCH|UNLESS|WHILE</v>
      </c>
      <c r="F5" s="1" t="str">
        <f>re_atom_pattern_begin &amp; Table1[[#This Row],[regexTerm]] &amp; "(" &amp; Table1[[#This Row],[regexTerm]] &amp; ")" &amp; re_atom_pattern_end</f>
        <v>(?:!\w)[@]?(BREAK|CONTINUE|EXIT|(?:FOR(?:EACH))|IF|LAST|LOOP|NEXT|REF|REPEAT|SWITCH|UNLESS|WHILE(BREAK|CONTINUE|EXIT|(?:FOR(?:EACH))|IF|LAST|LOOP|NEXT|REF|REPEAT|SWITCH|UNLESS|WHILE))\b</v>
      </c>
      <c r="G5" s="1" t="str">
        <f>SUBSTITUTE( SUBSTITUTE( Table1[[#This Row],[regex_perl]],  "(?:", "(?&lt;" ), "\", "\\")</f>
        <v>(?&lt;!\\w)[@]?(BREAK|CONTINUE|EXIT|(?&lt;FOR(?&lt;EACH))|IF|LAST|LOOP|NEXT|REF|REPEAT|SWITCH|UNLESS|WHILE(BREAK|CONTINUE|EXIT|(?&lt;FOR(?&lt;EACH))|IF|LAST|LOOP|NEXT|REF|REPEAT|SWITCH|UNLESS|WHILE))\\b</v>
      </c>
      <c r="H5" s="1"/>
      <c r="I5" s="38" t="s">
        <v>241</v>
      </c>
    </row>
    <row r="6" spans="2:10" x14ac:dyDescent="0.25">
      <c r="B6" s="38" t="s">
        <v>192</v>
      </c>
      <c r="C6" s="38" t="s">
        <v>135</v>
      </c>
      <c r="D6" s="38" t="str">
        <f>SUBSTITUTE( IF( IFERROR( FIND("doc", Table1[[#This Row],[category]]), 0), "note", Table1[[#This Row],[lang]]  &amp; "." ) &amp; Table1[[#This Row],[category]], ".", "_")</f>
        <v>notedoc_gen</v>
      </c>
      <c r="E6" s="38" t="str">
        <f t="array" ref="E6">_xlfn.TEXTJOIN( "|", TRUE, IF( Table2[category] = Table1[[#This Row],[category]], Table2[regexTerm], "") )</f>
        <v>ARRAY|ARRAY_?REF|HASH|HASH_?REF|KEYS?|OTHERWISE|TYPES?|VALUES?</v>
      </c>
      <c r="F6" s="1" t="str">
        <f>re_atom_pattern_begin &amp; Table1[[#This Row],[regexTerm]] &amp; "(" &amp; Table1[[#This Row],[regexTerm]] &amp; ")" &amp; re_atom_pattern_end</f>
        <v>(?:!\w)[@]?(ARRAY|ARRAY_?REF|HASH|HASH_?REF|KEYS?|OTHERWISE|TYPES?|VALUES?(ARRAY|ARRAY_?REF|HASH|HASH_?REF|KEYS?|OTHERWISE|TYPES?|VALUES?))\b</v>
      </c>
      <c r="G6" s="1" t="str">
        <f>SUBSTITUTE( SUBSTITUTE( Table1[[#This Row],[regex_perl]],  "(?:", "(?&lt;" ), "\", "\\")</f>
        <v>(?&lt;!\\w)[@]?(ARRAY|ARRAY_?REF|HASH|HASH_?REF|KEYS?|OTHERWISE|TYPES?|VALUES?(ARRAY|ARRAY_?REF|HASH|HASH_?REF|KEYS?|OTHERWISE|TYPES?|VALUES?))\\b</v>
      </c>
      <c r="H6" s="1"/>
      <c r="I6" s="38" t="s">
        <v>241</v>
      </c>
    </row>
    <row r="7" spans="2:10" ht="34" x14ac:dyDescent="0.25">
      <c r="B7" s="38" t="s">
        <v>192</v>
      </c>
      <c r="C7" s="38" t="s">
        <v>114</v>
      </c>
      <c r="D7" s="38" t="str">
        <f>SUBSTITUTE( IF( IFERROR( FIND("doc", Table1[[#This Row],[category]]), 0), "note", Table1[[#This Row],[lang]]  &amp; "." ) &amp; Table1[[#This Row],[category]], ".", "_")</f>
        <v>notedoc_oo</v>
      </c>
      <c r="E7" s="38" t="str">
        <f t="array" ref="E7">_xlfn.TEXTJOIN( "|", TRUE, IF( Table2[category] = Table1[[#This Row],[category]], Table2[regexTerm], "") )</f>
        <v>(?:ATTR(?:IBUTE)?S?)|(?:CLASS(?:ES)?)|INTERFACES?|OBJECTS?|(?:PROPS?|PROPERT(?:Y|IES)?)|ROLES?|SLOTS?</v>
      </c>
      <c r="F7" s="1" t="str">
        <f>re_atom_pattern_begin &amp; Table1[[#This Row],[regexTerm]] &amp; "(" &amp; Table1[[#This Row],[regexTerm]] &amp; ")" &amp; re_atom_pattern_end</f>
        <v>(?:!\w)[@]?((?:ATTR(?:IBUTE)?S?)|(?:CLASS(?:ES)?)|INTERFACES?|OBJECTS?|(?:PROPS?|PROPERT(?:Y|IES)?)|ROLES?|SLOTS?((?:ATTR(?:IBUTE)?S?)|(?:CLASS(?:ES)?)|INTERFACES?|OBJECTS?|(?:PROPS?|PROPERT(?:Y|IES)?)|ROLES?|SLOTS?))\b</v>
      </c>
      <c r="G7" s="1" t="str">
        <f>SUBSTITUTE( SUBSTITUTE( Table1[[#This Row],[regex_perl]],  "(?:", "(?&lt;" ), "\", "\\")</f>
        <v>(?&lt;!\\w)[@]?((?&lt;ATTR(?&lt;IBUTE)?S?)|(?&lt;CLASS(?&lt;ES)?)|INTERFACES?|OBJECTS?|(?&lt;PROPS?|PROPERT(?&lt;Y|IES)?)|ROLES?|SLOTS?((?&lt;ATTR(?&lt;IBUTE)?S?)|(?&lt;CLASS(?&lt;ES)?)|INTERFACES?|OBJECTS?|(?&lt;PROPS?|PROPERT(?&lt;Y|IES)?)|ROLES?|SLOTS?))\\b</v>
      </c>
      <c r="H7" s="1"/>
      <c r="I7" s="38" t="s">
        <v>241</v>
      </c>
    </row>
    <row r="8" spans="2:10" ht="68" x14ac:dyDescent="0.25">
      <c r="B8" s="38" t="s">
        <v>192</v>
      </c>
      <c r="C8" s="38" t="s">
        <v>203</v>
      </c>
      <c r="D8" s="38" t="str">
        <f>SUBSTITUTE( IF( IFERROR( FIND("doc", Table1[[#This Row],[category]]), 0), "note", Table1[[#This Row],[lang]]  &amp; "." ) &amp; Table1[[#This Row],[category]], ".", "_")</f>
        <v>notedoc_routine</v>
      </c>
      <c r="E8" s="38" t="str">
        <f t="array" ref="E8">_xlfn.TEXTJOIN( "|", TRUE, IF( Table2[category] = Table1[[#This Row],[category]], Table2[regexTerm], "") )</f>
        <v/>
      </c>
      <c r="F8" s="1" t="str">
        <f>re_atom_pattern_begin &amp; Table1[[#This Row],[regexTerm]] &amp; "(" &amp; Table1[[#This Row],[regexTerm]] &amp; ")" &amp; re_atom_pattern_end</f>
        <v>(?:!\w)[@]?(())\b</v>
      </c>
      <c r="G8" s="1" t="str">
        <f>SUBSTITUTE( SUBSTITUTE( Table1[[#This Row],[regex_perl]],  "(?:", "(?&lt;" ), "\", "\\")</f>
        <v>(?&lt;!\\w)[@]?(())\\b</v>
      </c>
      <c r="H8" s="1"/>
      <c r="I8" s="38" t="s">
        <v>241</v>
      </c>
    </row>
    <row r="9" spans="2:10" ht="34" x14ac:dyDescent="0.25">
      <c r="B9" s="38" t="s">
        <v>192</v>
      </c>
      <c r="C9" s="38" t="s">
        <v>236</v>
      </c>
      <c r="D9" s="38" t="str">
        <f>SUBSTITUTE( IF( IFERROR( FIND("doc", Table1[[#This Row],[category]]), 0), "note", Table1[[#This Row],[lang]]  &amp; "." ) &amp; Table1[[#This Row],[category]], ".", "_")</f>
        <v>notedoc_program</v>
      </c>
      <c r="E9" s="38" t="str">
        <f t="array" ref="E9">_xlfn.TEXTJOIN( "|", TRUE, IF( Table2[category] = Table1[[#This Row],[category]], Table2[regexTerm], "") )</f>
        <v/>
      </c>
      <c r="F9" s="1" t="str">
        <f>re_atom_pattern_begin &amp; Table1[[#This Row],[regexTerm]] &amp; "(" &amp; Table1[[#This Row],[regexTerm]] &amp; ")" &amp; re_atom_pattern_end</f>
        <v>(?:!\w)[@]?(())\b</v>
      </c>
      <c r="G9" s="1" t="str">
        <f>SUBSTITUTE( SUBSTITUTE( Table1[[#This Row],[regex_perl]],  "(?:", "(?&lt;" ), "\", "\\")</f>
        <v>(?&lt;!\\w)[@]?(())\\b</v>
      </c>
      <c r="H9" s="1"/>
      <c r="I9" s="38" t="s">
        <v>241</v>
      </c>
    </row>
    <row r="10" spans="2:10" ht="34" x14ac:dyDescent="0.25">
      <c r="B10" s="38" t="s">
        <v>192</v>
      </c>
      <c r="C10" s="38" t="s">
        <v>237</v>
      </c>
      <c r="D10" s="38" t="str">
        <f>SUBSTITUTE( IF( IFERROR( FIND("doc", Table1[[#This Row],[category]]), 0), "note", Table1[[#This Row],[lang]]  &amp; "." ) &amp; Table1[[#This Row],[category]], ".", "_")</f>
        <v>notedoc_system</v>
      </c>
      <c r="E10" s="38" t="str">
        <f t="array" ref="E10">_xlfn.TEXTJOIN( "|", TRUE, IF( Table2[category] = Table1[[#This Row],[category]], Table2[regexTerm], "") )</f>
        <v/>
      </c>
      <c r="F10" s="1" t="str">
        <f>re_atom_pattern_begin &amp; Table1[[#This Row],[regexTerm]] &amp; "(" &amp; Table1[[#This Row],[regexTerm]] &amp; ")" &amp; re_atom_pattern_end</f>
        <v>(?:!\w)[@]?(())\b</v>
      </c>
      <c r="G10" s="1" t="str">
        <f>SUBSTITUTE( SUBSTITUTE( Table1[[#This Row],[regex_perl]],  "(?:", "(?&lt;" ), "\", "\\")</f>
        <v>(?&lt;!\\w)[@]?(())\\b</v>
      </c>
      <c r="H10" s="1"/>
      <c r="I10" s="38" t="s">
        <v>241</v>
      </c>
    </row>
    <row r="11" spans="2:10" x14ac:dyDescent="0.25">
      <c r="B11" s="38" t="s">
        <v>192</v>
      </c>
      <c r="C11" s="38" t="s">
        <v>115</v>
      </c>
      <c r="D11" s="38" t="str">
        <f>SUBSTITUTE( IF( IFERROR( FIND("doc", Table1[[#This Row],[category]]), 0), "note", Table1[[#This Row],[lang]]  &amp; "." ) &amp; Table1[[#This Row],[category]], ".", "_")</f>
        <v>notedoc_unit</v>
      </c>
      <c r="E11" s="38" t="str">
        <f t="array" ref="E11">_xlfn.TEXTJOIN( "|", TRUE, IF( Table2[category] = Table1[[#This Row],[category]], Table2[regexTerm], "") )</f>
        <v/>
      </c>
      <c r="F11" s="1" t="str">
        <f>re_atom_pattern_begin &amp; Table1[[#This Row],[regexTerm]] &amp; "(" &amp; Table1[[#This Row],[regexTerm]] &amp; ")" &amp; re_atom_pattern_end</f>
        <v>(?:!\w)[@]?(())\b</v>
      </c>
      <c r="G11" s="1" t="str">
        <f>SUBSTITUTE( SUBSTITUTE( Table1[[#This Row],[regex_perl]],  "(?:", "(?&lt;" ), "\", "\\")</f>
        <v>(?&lt;!\\w)[@]?(())\\b</v>
      </c>
      <c r="H11" s="1"/>
      <c r="I11" s="38" t="s">
        <v>241</v>
      </c>
    </row>
    <row r="12" spans="2:10" ht="34" x14ac:dyDescent="0.25">
      <c r="B12" s="38" t="s">
        <v>51</v>
      </c>
      <c r="C12" s="38" t="s">
        <v>63</v>
      </c>
      <c r="D12" s="38" t="str">
        <f>SUBSTITUTE( IF( IFERROR( FIND("doc", Table1[[#This Row],[category]]), 0), "note", Table1[[#This Row],[lang]]  &amp; "." ) &amp; Table1[[#This Row],[category]], ".", "_")</f>
        <v>noted_intent</v>
      </c>
      <c r="E12" s="38" t="str">
        <f t="array" ref="E12">_xlfn.TEXTJOIN( "|", TRUE, IF( Table2[category] = Table1[[#This Row],[category]], Table2[regexTerm], "") )</f>
        <v/>
      </c>
      <c r="F12" s="1" t="str">
        <f>re_atom_pattern_begin &amp; Table1[[#This Row],[regexTerm]] &amp; "(" &amp; Table1[[#This Row],[regexTerm]] &amp; ")" &amp; re_atom_pattern_end</f>
        <v>(?:!\w)[@]?(())\b</v>
      </c>
      <c r="G12" s="1" t="str">
        <f>SUBSTITUTE( SUBSTITUTE( Table1[[#This Row],[regex_perl]],  "(?:", "(?&lt;" ), "\", "\\")</f>
        <v>(?&lt;!\\w)[@]?(())\\b</v>
      </c>
      <c r="H12" s="1"/>
      <c r="I12" s="38" t="s">
        <v>241</v>
      </c>
    </row>
    <row r="13" spans="2:10" x14ac:dyDescent="0.25">
      <c r="B13" s="38" t="s">
        <v>51</v>
      </c>
      <c r="C13" s="38" t="s">
        <v>57</v>
      </c>
      <c r="D13" s="38" t="str">
        <f>SUBSTITUTE( IF( IFERROR( FIND("doc", Table1[[#This Row],[category]]), 0), "note", Table1[[#This Row],[lang]]  &amp; "." ) &amp; Table1[[#This Row],[category]], ".", "_")</f>
        <v>noted_issue</v>
      </c>
      <c r="E13" s="38" t="str">
        <f t="array" ref="E13">_xlfn.TEXTJOIN( "|", TRUE, IF( Table2[category] = Table1[[#This Row],[category]], Table2[regexTerm], "") )</f>
        <v>BROKEN|BUG|FIXME|OMFGRLY|OMG|WTF</v>
      </c>
      <c r="F13" s="1" t="str">
        <f>re_atom_pattern_begin &amp; Table1[[#This Row],[regexTerm]] &amp; "(" &amp; Table1[[#This Row],[regexTerm]] &amp; ")" &amp; re_atom_pattern_end</f>
        <v>(?:!\w)[@]?(BROKEN|BUG|FIXME|OMFGRLY|OMG|WTF(BROKEN|BUG|FIXME|OMFGRLY|OMG|WTF))\b</v>
      </c>
      <c r="G13" s="1" t="str">
        <f>SUBSTITUTE( SUBSTITUTE( Table1[[#This Row],[regex_perl]],  "(?:", "(?&lt;" ), "\", "\\")</f>
        <v>(?&lt;!\\w)[@]?(BROKEN|BUG|FIXME|OMFGRLY|OMG|WTF(BROKEN|BUG|FIXME|OMFGRLY|OMG|WTF))\\b</v>
      </c>
      <c r="H13" s="1"/>
      <c r="I13" s="38" t="s">
        <v>241</v>
      </c>
    </row>
    <row r="14" spans="2:10" x14ac:dyDescent="0.25">
      <c r="B14" s="38" t="s">
        <v>51</v>
      </c>
      <c r="C14" s="38" t="s">
        <v>54</v>
      </c>
      <c r="D14" s="38" t="str">
        <f>SUBSTITUTE( IF( IFERROR( FIND("doc", Table1[[#This Row],[category]]), 0), "note", Table1[[#This Row],[lang]]  &amp; "." ) &amp; Table1[[#This Row],[category]], ".", "_")</f>
        <v>noted_item</v>
      </c>
      <c r="E14" s="38" t="str">
        <f t="array" ref="E14">_xlfn.TEXTJOIN( "|", TRUE, IF( Table2[category] = Table1[[#This Row],[category]], Table2[regexTerm], "") )</f>
        <v/>
      </c>
      <c r="F14" s="1" t="str">
        <f>re_atom_pattern_begin &amp; Table1[[#This Row],[regexTerm]] &amp; "(" &amp; Table1[[#This Row],[regexTerm]] &amp; ")" &amp; re_atom_pattern_end</f>
        <v>(?:!\w)[@]?(())\b</v>
      </c>
      <c r="G14" s="1" t="str">
        <f>SUBSTITUTE( SUBSTITUTE( Table1[[#This Row],[regex_perl]],  "(?:", "(?&lt;" ), "\", "\\")</f>
        <v>(?&lt;!\\w)[@]?(())\\b</v>
      </c>
      <c r="H14" s="1"/>
      <c r="I14" s="38" t="s">
        <v>241</v>
      </c>
    </row>
    <row r="15" spans="2:10" ht="34" x14ac:dyDescent="0.25">
      <c r="B15" s="38" t="s">
        <v>51</v>
      </c>
      <c r="C15" s="38" t="s">
        <v>55</v>
      </c>
      <c r="D15" s="38" t="str">
        <f>SUBSTITUTE( IF( IFERROR( FIND("doc", Table1[[#This Row],[category]]), 0), "note", Table1[[#This Row],[lang]]  &amp; "." ) &amp; Table1[[#This Row],[category]], ".", "_")</f>
        <v>noted_loglevel</v>
      </c>
      <c r="E15" s="38" t="str">
        <f t="array" ref="E15">_xlfn.TEXTJOIN( "|", TRUE, IF( Table2[category] = Table1[[#This Row],[category]], Table2[regexTerm], "") )</f>
        <v>ALERT|CRITICAL|EMERGENCY|ERROR|FATAL|PANIC|WARN|DEBUG|TRACE|INFO|NOTICE</v>
      </c>
      <c r="F15" s="1" t="str">
        <f>re_atom_pattern_begin &amp; Table1[[#This Row],[regexTerm]] &amp; "(" &amp; Table1[[#This Row],[regexTerm]] &amp; ")" &amp; re_atom_pattern_end</f>
        <v>(?:!\w)[@]?(ALERT|CRITICAL|EMERGENCY|ERROR|FATAL|PANIC|WARN|DEBUG|TRACE|INFO|NOTICE(ALERT|CRITICAL|EMERGENCY|ERROR|FATAL|PANIC|WARN|DEBUG|TRACE|INFO|NOTICE))\b</v>
      </c>
      <c r="G15" s="1" t="str">
        <f>SUBSTITUTE( SUBSTITUTE( Table1[[#This Row],[regex_perl]],  "(?:", "(?&lt;" ), "\", "\\")</f>
        <v>(?&lt;!\\w)[@]?(ALERT|CRITICAL|EMERGENCY|ERROR|FATAL|PANIC|WARN|DEBUG|TRACE|INFO|NOTICE(ALERT|CRITICAL|EMERGENCY|ERROR|FATAL|PANIC|WARN|DEBUG|TRACE|INFO|NOTICE))\\b</v>
      </c>
      <c r="H15" s="1"/>
      <c r="I15" s="38" t="s">
        <v>241</v>
      </c>
    </row>
    <row r="16" spans="2:10" x14ac:dyDescent="0.25">
      <c r="B16" s="38" t="s">
        <v>51</v>
      </c>
      <c r="C16" s="38" t="s">
        <v>60</v>
      </c>
      <c r="D16" s="38" t="str">
        <f>SUBSTITUTE( IF( IFERROR( FIND("doc", Table1[[#This Row],[category]]), 0), "note", Table1[[#This Row],[lang]]  &amp; "." ) &amp; Table1[[#This Row],[category]], ".", "_")</f>
        <v>noted_person</v>
      </c>
      <c r="E16" s="38" t="str">
        <f t="array" ref="E16">_xlfn.TEXTJOIN( "|", TRUE, IF( Table2[category] = Table1[[#This Row],[category]], Table2[regexTerm], "") )</f>
        <v>KENTNL|TABULO|TAU</v>
      </c>
      <c r="F16" s="1" t="str">
        <f>re_atom_pattern_begin &amp; Table1[[#This Row],[regexTerm]] &amp; "(" &amp; Table1[[#This Row],[regexTerm]] &amp; ")" &amp; re_atom_pattern_end</f>
        <v>(?:!\w)[@]?(KENTNL|TABULO|TAU(KENTNL|TABULO|TAU))\b</v>
      </c>
      <c r="G16" s="1" t="str">
        <f>SUBSTITUTE( SUBSTITUTE( Table1[[#This Row],[regex_perl]],  "(?:", "(?&lt;" ), "\", "\\")</f>
        <v>(?&lt;!\\w)[@]?(KENTNL|TABULO|TAU(KENTNL|TABULO|TAU))\\b</v>
      </c>
      <c r="H16" s="1"/>
      <c r="I16" s="38" t="s">
        <v>241</v>
      </c>
    </row>
    <row r="17" spans="2:9" x14ac:dyDescent="0.25">
      <c r="B17" s="38" t="s">
        <v>51</v>
      </c>
      <c r="C17" s="38" t="s">
        <v>100</v>
      </c>
      <c r="D17" s="38" t="str">
        <f>SUBSTITUTE( IF( IFERROR( FIND("doc", Table1[[#This Row],[category]]), 0), "note", Table1[[#This Row],[lang]]  &amp; "." ) &amp; Table1[[#This Row],[category]], ".", "_")</f>
        <v>noted_shout</v>
      </c>
      <c r="E17" s="38" t="str">
        <f t="array" ref="E17">_xlfn.TEXTJOIN( "|", TRUE, IF( Table2[category] = Table1[[#This Row],[category]], Table2[regexTerm], "") )</f>
        <v>ATTENTION|ATTN|TEMP|XXX|ERR|HACK|WARNING</v>
      </c>
      <c r="F17" s="1" t="str">
        <f>re_atom_pattern_begin &amp; Table1[[#This Row],[regexTerm]] &amp; "(" &amp; Table1[[#This Row],[regexTerm]] &amp; ")" &amp; re_atom_pattern_end</f>
        <v>(?:!\w)[@]?(ATTENTION|ATTN|TEMP|XXX|ERR|HACK|WARNING(ATTENTION|ATTN|TEMP|XXX|ERR|HACK|WARNING))\b</v>
      </c>
      <c r="G17" s="1" t="str">
        <f>SUBSTITUTE( SUBSTITUTE( Table1[[#This Row],[regex_perl]],  "(?:", "(?&lt;" ), "\", "\\")</f>
        <v>(?&lt;!\\w)[@]?(ATTENTION|ATTN|TEMP|XXX|ERR|HACK|WARNING(ATTENTION|ATTN|TEMP|XXX|ERR|HACK|WARNING))\\b</v>
      </c>
      <c r="H17" s="1"/>
      <c r="I17" s="38" t="s">
        <v>241</v>
      </c>
    </row>
    <row r="18" spans="2:9" x14ac:dyDescent="0.25">
      <c r="B18" s="38" t="s">
        <v>51</v>
      </c>
      <c r="C18" s="38" t="s">
        <v>50</v>
      </c>
      <c r="D18" s="38" t="str">
        <f>SUBSTITUTE( IF( IFERROR( FIND("doc", Table1[[#This Row],[category]]), 0), "note", Table1[[#This Row],[lang]]  &amp; "." ) &amp; Table1[[#This Row],[category]], ".", "_")</f>
        <v>noted_spook</v>
      </c>
      <c r="E18" s="38" t="str">
        <f t="array" ref="E18">_xlfn.TEXTJOIN( "|", TRUE, IF( Table2[category] = Table1[[#This Row],[category]], Table2[regexTerm], "") )</f>
        <v/>
      </c>
      <c r="F18" s="1" t="str">
        <f>re_atom_pattern_begin &amp; Table1[[#This Row],[regexTerm]] &amp; "(" &amp; Table1[[#This Row],[regexTerm]] &amp; ")" &amp; re_atom_pattern_end</f>
        <v>(?:!\w)[@]?(())\b</v>
      </c>
      <c r="G18" s="1" t="str">
        <f>SUBSTITUTE( SUBSTITUTE( Table1[[#This Row],[regex_perl]],  "(?:", "(?&lt;" ), "\", "\\")</f>
        <v>(?&lt;!\\w)[@]?(())\\b</v>
      </c>
      <c r="H18" s="1"/>
      <c r="I18" s="38" t="s">
        <v>241</v>
      </c>
    </row>
    <row r="19" spans="2:9" x14ac:dyDescent="0.25">
      <c r="B19" s="38" t="s">
        <v>51</v>
      </c>
      <c r="C19" s="38" t="s">
        <v>58</v>
      </c>
      <c r="D19" s="38" t="str">
        <f>SUBSTITUTE( IF( IFERROR( FIND("doc", Table1[[#This Row],[category]]), 0), "note", Table1[[#This Row],[lang]]  &amp; "." ) &amp; Table1[[#This Row],[category]], ".", "_")</f>
        <v>noted_status</v>
      </c>
      <c r="E19" s="38" t="str">
        <f t="array" ref="E19">_xlfn.TEXTJOIN( "|", TRUE, IF( Table2[category] = Table1[[#This Row],[category]], Table2[regexTerm], "") )</f>
        <v>NOTREACHED|UNDONE|DONE|FIXED|OPTIMIZED|CHANGED</v>
      </c>
      <c r="F19" s="1" t="str">
        <f>re_atom_pattern_begin &amp; Table1[[#This Row],[regexTerm]] &amp; "(" &amp; Table1[[#This Row],[regexTerm]] &amp; ")" &amp; re_atom_pattern_end</f>
        <v>(?:!\w)[@]?(NOTREACHED|UNDONE|DONE|FIXED|OPTIMIZED|CHANGED(NOTREACHED|UNDONE|DONE|FIXED|OPTIMIZED|CHANGED))\b</v>
      </c>
      <c r="G19" s="1" t="str">
        <f>SUBSTITUTE( SUBSTITUTE( Table1[[#This Row],[regex_perl]],  "(?:", "(?&lt;" ), "\", "\\")</f>
        <v>(?&lt;!\\w)[@]?(NOTREACHED|UNDONE|DONE|FIXED|OPTIMIZED|CHANGED(NOTREACHED|UNDONE|DONE|FIXED|OPTIMIZED|CHANGED))\\b</v>
      </c>
      <c r="H19" s="1"/>
      <c r="I19" s="38" t="s">
        <v>241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0DB7-C716-5745-8290-8F055B3959D0}">
  <sheetPr codeName="Sheet4"/>
  <dimension ref="B2:G34"/>
  <sheetViews>
    <sheetView workbookViewId="0">
      <selection activeCell="D7" sqref="D7"/>
    </sheetView>
  </sheetViews>
  <sheetFormatPr baseColWidth="10" defaultRowHeight="17" x14ac:dyDescent="0.25"/>
  <cols>
    <col min="1" max="1" width="5.7109375" style="1" customWidth="1"/>
    <col min="2" max="2" width="8.85546875" style="1" customWidth="1"/>
    <col min="3" max="3" width="36" style="1" customWidth="1"/>
    <col min="4" max="4" width="86.85546875" style="1" customWidth="1"/>
    <col min="5" max="5" width="5.140625" style="2" customWidth="1"/>
    <col min="6" max="6" width="16.85546875" style="2" customWidth="1"/>
    <col min="7" max="7" width="82.85546875" style="2" customWidth="1"/>
    <col min="8" max="16384" width="10.7109375" style="1"/>
  </cols>
  <sheetData>
    <row r="2" spans="2:7" x14ac:dyDescent="0.25">
      <c r="B2" s="12"/>
      <c r="C2" s="12" t="s">
        <v>71</v>
      </c>
      <c r="D2" s="12" t="s">
        <v>72</v>
      </c>
      <c r="E2" s="13"/>
      <c r="F2" s="13"/>
      <c r="G2" s="13" t="s">
        <v>73</v>
      </c>
    </row>
    <row r="4" spans="2:7" x14ac:dyDescent="0.25">
      <c r="B4" s="1" t="s">
        <v>242</v>
      </c>
    </row>
    <row r="5" spans="2:7" x14ac:dyDescent="0.25">
      <c r="C5" s="1" t="s">
        <v>259</v>
      </c>
      <c r="D5" s="7" t="s">
        <v>263</v>
      </c>
    </row>
    <row r="6" spans="2:7" x14ac:dyDescent="0.25">
      <c r="C6" s="1" t="s">
        <v>262</v>
      </c>
      <c r="D6" s="7" t="s">
        <v>265</v>
      </c>
    </row>
    <row r="7" spans="2:7" x14ac:dyDescent="0.25">
      <c r="D7" s="7"/>
    </row>
    <row r="8" spans="2:7" ht="28" x14ac:dyDescent="0.25">
      <c r="C8" s="1" t="s">
        <v>245</v>
      </c>
      <c r="D8" s="7" t="s">
        <v>244</v>
      </c>
      <c r="G8" s="3" t="s">
        <v>247</v>
      </c>
    </row>
    <row r="9" spans="2:7" x14ac:dyDescent="0.25">
      <c r="C9" s="1" t="s">
        <v>246</v>
      </c>
      <c r="D9" s="7" t="s">
        <v>243</v>
      </c>
      <c r="G9" s="2" t="s">
        <v>248</v>
      </c>
    </row>
    <row r="11" spans="2:7" x14ac:dyDescent="0.25">
      <c r="B11" s="1" t="s">
        <v>97</v>
      </c>
    </row>
    <row r="12" spans="2:7" ht="48" customHeight="1" x14ac:dyDescent="0.25">
      <c r="C12" s="1" t="s">
        <v>90</v>
      </c>
      <c r="D12" s="7" t="s">
        <v>70</v>
      </c>
      <c r="E12" s="3"/>
      <c r="F12" s="3"/>
      <c r="G12" s="3" t="s">
        <v>74</v>
      </c>
    </row>
    <row r="13" spans="2:7" x14ac:dyDescent="0.25">
      <c r="C13" s="1" t="s">
        <v>91</v>
      </c>
      <c r="D13" s="6" t="str">
        <f>"(?:[#]" &amp; re_tw_label &amp; ")"</f>
        <v>(?:[#](?:\w*[0-9a-zA-Z]+\w*[0-9a-zA-Z]))</v>
      </c>
      <c r="G13" s="2" t="s">
        <v>75</v>
      </c>
    </row>
    <row r="14" spans="2:7" x14ac:dyDescent="0.25">
      <c r="C14" s="1" t="s">
        <v>92</v>
      </c>
      <c r="D14" s="6" t="str">
        <f>"(?:[@]" &amp; re_tw_label &amp; ")"</f>
        <v>(?:[@](?:\w*[0-9a-zA-Z]+\w*[0-9a-zA-Z]))</v>
      </c>
      <c r="G14" s="2" t="s">
        <v>76</v>
      </c>
    </row>
    <row r="15" spans="2:7" x14ac:dyDescent="0.25">
      <c r="D15" s="6"/>
    </row>
    <row r="16" spans="2:7" x14ac:dyDescent="0.25">
      <c r="D16" s="6"/>
    </row>
    <row r="17" spans="2:7" x14ac:dyDescent="0.25">
      <c r="D17" s="6"/>
    </row>
    <row r="18" spans="2:7" x14ac:dyDescent="0.25">
      <c r="B18" s="1" t="s">
        <v>98</v>
      </c>
    </row>
    <row r="19" spans="2:7" x14ac:dyDescent="0.25">
      <c r="C19" s="10" t="s">
        <v>79</v>
      </c>
      <c r="D19" s="7" t="s">
        <v>77</v>
      </c>
    </row>
    <row r="20" spans="2:7" x14ac:dyDescent="0.25">
      <c r="C20" s="10" t="s">
        <v>80</v>
      </c>
      <c r="D20" s="7" t="s">
        <v>78</v>
      </c>
    </row>
    <row r="22" spans="2:7" x14ac:dyDescent="0.25">
      <c r="C22" s="9" t="s">
        <v>81</v>
      </c>
      <c r="D22" s="11" t="str">
        <f>re_tag_begin &amp; re_tag_mention_sym &amp; re_tw_mention &amp; re_tag_end</f>
        <v>(?:[@](?:[@](?:\w*[0-9a-zA-Z]+\w*[0-9a-zA-Z])))</v>
      </c>
      <c r="E22" s="7" t="s">
        <v>93</v>
      </c>
      <c r="F22" s="2" t="s">
        <v>87</v>
      </c>
      <c r="G22" s="2" t="s">
        <v>88</v>
      </c>
    </row>
    <row r="23" spans="2:7" x14ac:dyDescent="0.25">
      <c r="C23" s="9" t="s">
        <v>257</v>
      </c>
      <c r="D23" s="11" t="str">
        <f>re_tag_begin &amp; re_tag_neutral_sym &amp; re_tw_hashtag &amp; re_tag_end</f>
        <v>(?:[%](?:[#](?:\w*[0-9a-zA-Z]+\w*[0-9a-zA-Z])))</v>
      </c>
      <c r="E23" s="7" t="s">
        <v>94</v>
      </c>
      <c r="F23" s="2" t="s">
        <v>86</v>
      </c>
      <c r="G23" s="2" t="s">
        <v>89</v>
      </c>
    </row>
    <row r="24" spans="2:7" x14ac:dyDescent="0.25">
      <c r="C24" s="9" t="s">
        <v>83</v>
      </c>
      <c r="D24" s="11" t="str">
        <f>re_tag_begin &amp; re_tag_good_sym &amp; re_tw_hashtag &amp; re_tag_end</f>
        <v>(?:[+](?:[#](?:\w*[0-9a-zA-Z]+\w*[0-9a-zA-Z])))</v>
      </c>
      <c r="E24" s="8" t="s">
        <v>95</v>
      </c>
      <c r="F24" s="2" t="s">
        <v>85</v>
      </c>
      <c r="G24" s="2" t="s">
        <v>89</v>
      </c>
    </row>
    <row r="25" spans="2:7" x14ac:dyDescent="0.25">
      <c r="C25" s="9" t="s">
        <v>82</v>
      </c>
      <c r="D25" s="11" t="str">
        <f>re_tag_begin &amp; re_tag_bad_sym &amp; re_tw_hashtag &amp; re_tag_end</f>
        <v>(?:[-](?:[#](?:\w*[0-9a-zA-Z]+\w*[0-9a-zA-Z])))</v>
      </c>
      <c r="E25" s="8" t="s">
        <v>96</v>
      </c>
      <c r="F25" s="2" t="s">
        <v>84</v>
      </c>
      <c r="G25" s="2" t="s">
        <v>89</v>
      </c>
    </row>
    <row r="33" spans="4:4" x14ac:dyDescent="0.25">
      <c r="D33" s="5"/>
    </row>
    <row r="34" spans="4:4" x14ac:dyDescent="0.25">
      <c r="D34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9302C-E6CC-514F-8ABB-9C99AC154F2A}">
  <sheetPr codeName="Sheet3"/>
  <dimension ref="B3:D4"/>
  <sheetViews>
    <sheetView workbookViewId="0">
      <selection activeCell="C4" sqref="C4"/>
    </sheetView>
  </sheetViews>
  <sheetFormatPr baseColWidth="10" defaultRowHeight="17" x14ac:dyDescent="0.25"/>
  <cols>
    <col min="2" max="2" width="20" customWidth="1"/>
    <col min="3" max="3" width="23.140625" customWidth="1"/>
  </cols>
  <sheetData>
    <row r="3" spans="2:4" x14ac:dyDescent="0.25">
      <c r="B3" s="14" t="s">
        <v>122</v>
      </c>
      <c r="C3" t="s">
        <v>123</v>
      </c>
      <c r="D3" t="b">
        <f>OR((SEARCH("]",C3)&gt;0))</f>
        <v>1</v>
      </c>
    </row>
    <row r="4" spans="2:4" x14ac:dyDescent="0.25">
      <c r="B4" t="s">
        <v>252</v>
      </c>
      <c r="C4" t="str">
        <f>SUBSTITUTE(B4, "\", "\\")</f>
        <v>Filan \\w gibi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Data</vt:lpstr>
      <vt:lpstr>Summary</vt:lpstr>
      <vt:lpstr>Cfg</vt:lpstr>
      <vt:lpstr>Scratch</vt:lpstr>
      <vt:lpstr>atom_grammatic_group_template</vt:lpstr>
      <vt:lpstr>atom_grammatic_name_template</vt:lpstr>
      <vt:lpstr>re_atom_pattern_begin</vt:lpstr>
      <vt:lpstr>re_atom_pattern_end</vt:lpstr>
      <vt:lpstr>re_tag_bad</vt:lpstr>
      <vt:lpstr>re_tag_bad_sym</vt:lpstr>
      <vt:lpstr>re_tag_begin</vt:lpstr>
      <vt:lpstr>re_tag_end</vt:lpstr>
      <vt:lpstr>re_tag_good</vt:lpstr>
      <vt:lpstr>re_tag_good_sym</vt:lpstr>
      <vt:lpstr>re_tag_mention</vt:lpstr>
      <vt:lpstr>re_tag_mention_sym</vt:lpstr>
      <vt:lpstr>re_tag_neutral</vt:lpstr>
      <vt:lpstr>re_tag_neutral_sym</vt:lpstr>
      <vt:lpstr>re_tw_hashtag</vt:lpstr>
      <vt:lpstr>re_tw_label</vt:lpstr>
      <vt:lpstr>re_tw_mention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</dc:creator>
  <cp:lastModifiedBy>AU</cp:lastModifiedBy>
  <dcterms:created xsi:type="dcterms:W3CDTF">2018-06-29T07:52:03Z</dcterms:created>
  <dcterms:modified xsi:type="dcterms:W3CDTF">2018-06-30T00:08:10Z</dcterms:modified>
</cp:coreProperties>
</file>